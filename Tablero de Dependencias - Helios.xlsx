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3.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4.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pivotTables/pivotTable1.xml" ContentType="application/vnd.openxmlformats-officedocument.spreadsheetml.pivotTable+xml"/>
  <Override PartName="/xl/tables/table11.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pivotTables/pivotTable2.xml" ContentType="application/vnd.openxmlformats-officedocument.spreadsheetml.pivotTable+xml"/>
  <Override PartName="/xl/tables/table12.xml" ContentType="application/vnd.openxmlformats-officedocument.spreadsheetml.table+xml"/>
  <Override PartName="/xl/comments5.xml" ContentType="application/vnd.openxmlformats-officedocument.spreadsheetml.comments+xml"/>
  <Override PartName="/xl/threadedComments/threadedComment5.xml" ContentType="application/vnd.ms-excel.threadedcomments+xml"/>
  <Override PartName="/xl/namedSheetViews/namedSheetView1.xml" ContentType="application/vnd.ms-excel.namedsheetviews+xml"/>
  <Override PartName="/xl/tables/table13.xml" ContentType="application/vnd.openxmlformats-officedocument.spreadsheetml.table+xml"/>
  <Override PartName="/xl/comments6.xml" ContentType="application/vnd.openxmlformats-officedocument.spreadsheetml.comments+xml"/>
  <Override PartName="/xl/threadedComments/threadedComment6.xml" ContentType="application/vnd.ms-excel.threadedcomments+xml"/>
  <Override PartName="/xl/tables/table14.xml" ContentType="application/vnd.openxmlformats-officedocument.spreadsheetml.table+xml"/>
  <Override PartName="/xl/comments7.xml" ContentType="application/vnd.openxmlformats-officedocument.spreadsheetml.comments+xml"/>
  <Override PartName="/xl/threadedComments/threadedComment7.xml" ContentType="application/vnd.ms-excel.threadedcomments+xml"/>
  <Override PartName="/xl/tables/table15.xml" ContentType="application/vnd.openxmlformats-officedocument.spreadsheetml.table+xml"/>
  <Override PartName="/xl/comments8.xml" ContentType="application/vnd.openxmlformats-officedocument.spreadsheetml.comments+xml"/>
  <Override PartName="/xl/threadedComments/threadedComment8.xml" ContentType="application/vnd.ms-excel.threadedcomments+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omments9.xml" ContentType="application/vnd.openxmlformats-officedocument.spreadsheetml.comments+xml"/>
  <Override PartName="/xl/threadedComments/threadedComment9.xml" ContentType="application/vnd.ms-excel.threadedcomments+xml"/>
  <Override PartName="/xl/tables/table16.xml" ContentType="application/vnd.openxmlformats-officedocument.spreadsheetml.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arivera_scb\Downloads\"/>
    </mc:Choice>
  </mc:AlternateContent>
  <xr:revisionPtr revIDLastSave="0" documentId="13_ncr:1_{EBB49FEA-D24D-423D-AF18-D0A0CCAED550}" xr6:coauthVersionLast="47" xr6:coauthVersionMax="47" xr10:uidLastSave="{00000000-0000-0000-0000-000000000000}"/>
  <bookViews>
    <workbookView xWindow="-28920" yWindow="-120" windowWidth="29040" windowHeight="17520" firstSheet="19" activeTab="23" xr2:uid="{EA9C4274-E85B-41CA-B53A-BC36A2F3BBE5}"/>
  </bookViews>
  <sheets>
    <sheet name="Resumen" sheetId="16" state="hidden" r:id="rId1"/>
    <sheet name="Detalle1" sheetId="18" state="hidden" r:id="rId2"/>
    <sheet name="Aplicaciones de Soporte" sheetId="10" state="hidden" r:id="rId3"/>
    <sheet name="Cards y Payments" sheetId="9" state="hidden" r:id="rId4"/>
    <sheet name="Core Banking" sheetId="8" state="hidden" r:id="rId5"/>
    <sheet name="Canal Digital" sheetId="4" state="hidden" r:id="rId6"/>
    <sheet name="Detalle2" sheetId="33" state="hidden" r:id="rId7"/>
    <sheet name="Detalle3" sheetId="34" state="hidden" r:id="rId8"/>
    <sheet name="Detalle4" sheetId="35" state="hidden" r:id="rId9"/>
    <sheet name="Detalle5" sheetId="36" state="hidden" r:id="rId10"/>
    <sheet name="Detalle6" sheetId="37" state="hidden" r:id="rId11"/>
    <sheet name="Resumen CCAA" sheetId="17" state="hidden" r:id="rId12"/>
    <sheet name="ID" sheetId="20" state="hidden" r:id="rId13"/>
    <sheet name="Arquitectura" sheetId="15" state="hidden" r:id="rId14"/>
    <sheet name="Canal Asistidos" sheetId="1" state="hidden" r:id="rId15"/>
    <sheet name="Migración de Datos" sheetId="13" state="hidden" r:id="rId16"/>
    <sheet name="Integración" sheetId="7" state="hidden" r:id="rId17"/>
    <sheet name="Data" sheetId="5" state="hidden" r:id="rId18"/>
    <sheet name="Hoja1" sheetId="39" state="hidden" r:id="rId19"/>
    <sheet name="TB_DEPENDENCIA" sheetId="19" r:id="rId20"/>
    <sheet name="apuntes" sheetId="38" state="hidden" r:id="rId21"/>
    <sheet name="Catálogo" sheetId="2" state="hidden" r:id="rId22"/>
    <sheet name="Hoja2" sheetId="40" state="hidden" r:id="rId23"/>
    <sheet name="DINAMICA" sheetId="42" r:id="rId24"/>
    <sheet name="Parametros" sheetId="41" r:id="rId25"/>
  </sheets>
  <definedNames>
    <definedName name="_xlnm._FilterDatabase" localSheetId="2" hidden="1">'Aplicaciones de Soporte'!$O$1:$O$1</definedName>
    <definedName name="_xlnm._FilterDatabase" localSheetId="14" hidden="1">'Canal Asistidos'!$A$3:$C$140</definedName>
    <definedName name="_xlnm._FilterDatabase" localSheetId="5" hidden="1">'Canal Digital'!$B$2:$C$21</definedName>
    <definedName name="_xlnm._FilterDatabase" localSheetId="3" hidden="1">'Cards y Payments'!$B$2:$C$20</definedName>
    <definedName name="_xlnm._FilterDatabase" localSheetId="17" hidden="1">Data!$B$1:$C$13</definedName>
    <definedName name="_xlnm._FilterDatabase" localSheetId="15" hidden="1">'Migración de Datos'!$B$2:$C$35</definedName>
    <definedName name="_xlnm._FilterDatabase" localSheetId="0" hidden="1">Resumen!$B$1:$N$63</definedName>
    <definedName name="_xlnm._FilterDatabase" localSheetId="19" hidden="1">TB_DEPENDENCIA!$A$1:$T$467</definedName>
  </definedNames>
  <calcPr calcId="191028"/>
  <pivotCaches>
    <pivotCache cacheId="0" r:id="rId26"/>
    <pivotCache cacheId="1" r:id="rId27"/>
    <pivotCache cacheId="2" r:id="rId28"/>
    <pivotCache cacheId="3" r:id="rId29"/>
    <pivotCache cacheId="4" r:id="rId30"/>
    <pivotCache cacheId="5" r:id="rId31"/>
    <pivotCache cacheId="6" r:id="rId32"/>
    <pivotCache cacheId="7" r:id="rId33"/>
    <pivotCache cacheId="8" r:id="rId3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 i="5" l="1"/>
  <c r="U2" i="5"/>
  <c r="U4" i="5"/>
  <c r="U5" i="5"/>
  <c r="U6" i="5"/>
  <c r="U7" i="5"/>
  <c r="U8" i="5"/>
  <c r="U9" i="5"/>
  <c r="U10" i="5"/>
  <c r="U11" i="5"/>
  <c r="U12" i="5"/>
  <c r="U13" i="5"/>
  <c r="U5" i="10"/>
  <c r="U6" i="10"/>
  <c r="U7" i="10"/>
  <c r="U8" i="10"/>
  <c r="U9" i="10"/>
  <c r="U10" i="10"/>
  <c r="U11" i="10"/>
  <c r="U12" i="10"/>
  <c r="U13" i="10"/>
  <c r="U14" i="10"/>
  <c r="U15" i="10"/>
  <c r="U16" i="10"/>
  <c r="U17" i="10"/>
  <c r="U18" i="10"/>
  <c r="U19" i="10"/>
  <c r="U20" i="10"/>
  <c r="U21" i="10"/>
  <c r="U22" i="10"/>
  <c r="U23" i="10"/>
  <c r="U24" i="10"/>
  <c r="U25" i="10"/>
  <c r="U26" i="10"/>
  <c r="U27" i="10"/>
  <c r="U28" i="10"/>
  <c r="U29" i="10"/>
  <c r="U30" i="10"/>
  <c r="U31" i="10"/>
  <c r="U32" i="10"/>
  <c r="U33" i="10"/>
  <c r="U34" i="10"/>
  <c r="U35" i="10"/>
  <c r="U36" i="10"/>
  <c r="U37" i="10"/>
  <c r="U38" i="10"/>
  <c r="U39" i="10"/>
  <c r="U40" i="10"/>
  <c r="U41" i="10"/>
  <c r="U42" i="10"/>
  <c r="U43" i="10"/>
  <c r="U44" i="10"/>
  <c r="U45" i="10"/>
  <c r="U46" i="10"/>
  <c r="U47" i="10"/>
  <c r="U48" i="10"/>
  <c r="U49" i="10"/>
  <c r="U50" i="10"/>
  <c r="U51" i="10"/>
  <c r="U52" i="10"/>
  <c r="U53" i="10"/>
  <c r="U54" i="10"/>
  <c r="U55" i="10"/>
  <c r="U56" i="10"/>
  <c r="U57" i="10"/>
  <c r="U58" i="10"/>
  <c r="U59" i="10"/>
  <c r="U60" i="10"/>
  <c r="U61" i="10"/>
  <c r="U62" i="10"/>
  <c r="U63" i="10"/>
  <c r="U64" i="10"/>
  <c r="U65" i="10"/>
  <c r="U66" i="10"/>
  <c r="U67" i="10"/>
  <c r="U68" i="10"/>
  <c r="U69" i="10"/>
  <c r="U70" i="10"/>
  <c r="U71" i="10"/>
  <c r="U72" i="10"/>
  <c r="U73" i="10"/>
  <c r="U74" i="10"/>
  <c r="U75" i="10"/>
  <c r="U76" i="10"/>
  <c r="U77" i="10"/>
  <c r="U78" i="10"/>
  <c r="U79" i="10"/>
  <c r="U80" i="10"/>
  <c r="U81" i="10"/>
  <c r="U82" i="10"/>
  <c r="U83" i="10"/>
  <c r="U84" i="10"/>
  <c r="U85" i="10"/>
  <c r="U4" i="10"/>
  <c r="U3" i="13"/>
  <c r="U4" i="13"/>
  <c r="U5" i="13"/>
  <c r="U6" i="13"/>
  <c r="U7" i="13"/>
  <c r="U8" i="13"/>
  <c r="U9" i="13"/>
  <c r="U10" i="13"/>
  <c r="U11" i="13"/>
  <c r="U12" i="13"/>
  <c r="U13" i="13"/>
  <c r="U14" i="13"/>
  <c r="U15" i="13"/>
  <c r="U16" i="13"/>
  <c r="U17" i="13"/>
  <c r="U18" i="13"/>
  <c r="U19" i="13"/>
  <c r="U20" i="13"/>
  <c r="U21" i="13"/>
  <c r="U22" i="13"/>
  <c r="U23" i="13"/>
  <c r="U24" i="13"/>
  <c r="U25" i="13"/>
  <c r="U26" i="13"/>
  <c r="U27" i="13"/>
  <c r="U28" i="13"/>
  <c r="U29" i="13"/>
  <c r="U30" i="13"/>
  <c r="U31" i="13"/>
  <c r="U32" i="13"/>
  <c r="U33" i="13"/>
  <c r="U34" i="13"/>
  <c r="U35" i="13"/>
  <c r="U4" i="4"/>
  <c r="U5" i="4"/>
  <c r="U6" i="4"/>
  <c r="U7" i="4"/>
  <c r="U8" i="4"/>
  <c r="U9" i="4"/>
  <c r="U10" i="4"/>
  <c r="U11" i="4"/>
  <c r="U12" i="4"/>
  <c r="U13" i="4"/>
  <c r="U14" i="4"/>
  <c r="U15" i="4"/>
  <c r="U3" i="4"/>
  <c r="U16" i="4"/>
  <c r="U17" i="4"/>
  <c r="U18" i="4"/>
  <c r="U19" i="4"/>
  <c r="U20" i="4"/>
  <c r="U21" i="4"/>
  <c r="U3" i="9"/>
  <c r="U4" i="9"/>
  <c r="U5" i="9"/>
  <c r="U6" i="9"/>
  <c r="U7" i="9"/>
  <c r="U8" i="9"/>
  <c r="U9" i="9"/>
  <c r="U10" i="9"/>
  <c r="U11" i="9"/>
  <c r="U12" i="9"/>
  <c r="U13" i="9"/>
  <c r="U14" i="9"/>
  <c r="U15" i="9"/>
  <c r="U16" i="9"/>
  <c r="U17" i="9"/>
  <c r="U18" i="9"/>
  <c r="U19" i="9"/>
  <c r="U20" i="9"/>
  <c r="U21" i="9"/>
  <c r="U22" i="9"/>
  <c r="U23" i="9"/>
  <c r="U24" i="9"/>
  <c r="U25" i="9"/>
  <c r="U26" i="9"/>
  <c r="U27" i="9"/>
  <c r="U4" i="7"/>
  <c r="U5" i="7"/>
  <c r="U6" i="7"/>
  <c r="U7" i="7"/>
  <c r="U8" i="7"/>
  <c r="U9" i="7"/>
  <c r="U10" i="7"/>
  <c r="U11" i="7"/>
  <c r="U12" i="7"/>
  <c r="U13" i="7"/>
  <c r="U14" i="7"/>
  <c r="U15" i="7"/>
  <c r="U16" i="7"/>
  <c r="U17" i="7"/>
  <c r="U3" i="7"/>
  <c r="U3" i="8"/>
  <c r="U4" i="8"/>
  <c r="U5" i="8"/>
  <c r="U6" i="8"/>
  <c r="U7" i="8"/>
  <c r="U8" i="8"/>
  <c r="U9" i="8"/>
  <c r="U10" i="8"/>
  <c r="U11" i="8"/>
  <c r="U12" i="8"/>
  <c r="U13" i="8"/>
  <c r="U14" i="8"/>
  <c r="U15" i="8"/>
  <c r="U16" i="8"/>
  <c r="U17" i="8"/>
  <c r="U18" i="8"/>
  <c r="U19" i="8"/>
  <c r="U20" i="8"/>
  <c r="U21" i="8"/>
  <c r="U22" i="8"/>
  <c r="U23" i="8"/>
  <c r="U24" i="8"/>
  <c r="U25" i="8"/>
  <c r="U26" i="8"/>
  <c r="U27" i="8"/>
  <c r="U28" i="8"/>
  <c r="U29" i="8"/>
  <c r="U30" i="8"/>
  <c r="U31" i="8"/>
  <c r="U32" i="8"/>
  <c r="U33" i="8"/>
  <c r="U34" i="8"/>
  <c r="U35" i="8"/>
  <c r="U36" i="8"/>
  <c r="U37" i="8"/>
  <c r="U38" i="8"/>
  <c r="U39" i="8"/>
  <c r="U40" i="8"/>
  <c r="U41" i="8"/>
  <c r="U42" i="8"/>
  <c r="U43" i="8"/>
  <c r="U44" i="8"/>
  <c r="U45" i="8"/>
  <c r="U46" i="8"/>
  <c r="U47" i="8"/>
  <c r="U48" i="8"/>
  <c r="U49" i="8"/>
  <c r="U50" i="8"/>
  <c r="U51" i="8"/>
  <c r="U52" i="8"/>
  <c r="U53" i="8"/>
  <c r="U54" i="8"/>
  <c r="U55" i="8"/>
  <c r="U56" i="8"/>
  <c r="U57" i="8"/>
  <c r="U58" i="8"/>
  <c r="U59" i="8"/>
  <c r="U60" i="8"/>
  <c r="U61" i="8"/>
  <c r="U62" i="8"/>
  <c r="U63" i="8"/>
  <c r="U64" i="8"/>
  <c r="U65" i="8"/>
  <c r="U66" i="8"/>
  <c r="U67" i="8"/>
  <c r="U68" i="8"/>
  <c r="U69" i="8"/>
  <c r="U70" i="8"/>
  <c r="U71" i="8"/>
  <c r="U72" i="8"/>
  <c r="U73" i="8"/>
  <c r="U74" i="8"/>
  <c r="U75" i="8"/>
  <c r="U76" i="8"/>
  <c r="U77" i="8"/>
  <c r="U78" i="8"/>
  <c r="U79" i="8"/>
  <c r="U80" i="8"/>
  <c r="U81" i="8"/>
  <c r="U82" i="8"/>
  <c r="U83" i="8"/>
  <c r="U84" i="8"/>
  <c r="U85" i="8"/>
  <c r="U86" i="8"/>
  <c r="U87" i="8"/>
  <c r="U88" i="8"/>
  <c r="U89" i="8"/>
  <c r="U90" i="8"/>
  <c r="U91" i="8"/>
  <c r="U92" i="8"/>
  <c r="U93" i="8"/>
  <c r="U94" i="8"/>
  <c r="U95" i="8"/>
  <c r="U96" i="8"/>
  <c r="U97" i="8"/>
  <c r="U98" i="8"/>
  <c r="U99" i="8"/>
  <c r="U100" i="8"/>
  <c r="U101" i="8"/>
  <c r="U102" i="8"/>
  <c r="U103" i="8"/>
  <c r="U104" i="8"/>
  <c r="U105" i="8"/>
  <c r="U106" i="8"/>
  <c r="U107" i="8"/>
  <c r="U108" i="8"/>
  <c r="U109" i="8"/>
  <c r="U110" i="8"/>
  <c r="U111" i="8"/>
  <c r="U112" i="8"/>
  <c r="U113" i="8"/>
  <c r="U114" i="8"/>
  <c r="U115" i="8"/>
  <c r="U116" i="8"/>
  <c r="U117" i="8"/>
  <c r="U118" i="8"/>
  <c r="U119" i="8"/>
  <c r="U120" i="8"/>
  <c r="U121" i="8"/>
  <c r="U122" i="8"/>
  <c r="U123" i="8"/>
  <c r="U124" i="8"/>
  <c r="U125" i="8"/>
  <c r="U126" i="8"/>
  <c r="U127" i="8"/>
  <c r="U128" i="8"/>
  <c r="U129" i="8"/>
  <c r="U130" i="8"/>
  <c r="U131" i="8"/>
  <c r="U132" i="8"/>
  <c r="U133" i="8"/>
  <c r="U134" i="8"/>
  <c r="U135" i="8"/>
  <c r="U136" i="8"/>
  <c r="U137" i="8"/>
  <c r="U138" i="8"/>
  <c r="U139" i="8"/>
  <c r="U140" i="8"/>
  <c r="U141" i="8"/>
  <c r="U142" i="8"/>
  <c r="U143" i="8"/>
  <c r="U144" i="8"/>
  <c r="U145" i="8"/>
  <c r="U146" i="8"/>
  <c r="U147" i="8"/>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E22" i="39"/>
  <c r="E23" i="39"/>
  <c r="A2" i="19" l="1" a="1"/>
  <c r="A2" i="1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tc={ECA83568-3934-4567-A953-86559B94AEEE}</author>
  </authors>
  <commentList>
    <comment ref="O3" authorId="0" shapeId="0" xr:uid="{ECA83568-3934-4567-A953-86559B94AEE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PMO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tc={73F6E5B7-7B91-48D6-822F-5CDFDB74AD59}</author>
  </authors>
  <commentList>
    <comment ref="O2" authorId="0" shapeId="0" xr:uid="{73F6E5B7-7B91-48D6-822F-5CDFDB74AD5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PMO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tc={526AA855-767B-408B-ACB1-68037CE66822}</author>
  </authors>
  <commentList>
    <comment ref="O2" authorId="0" shapeId="0" xr:uid="{526AA855-767B-408B-ACB1-68037CE6682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PMO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tc={6A657438-DCF9-4FFE-BEB5-0480EE816643}</author>
  </authors>
  <commentList>
    <comment ref="L2" authorId="0" shapeId="0" xr:uid="{6A657438-DCF9-4FFE-BEB5-0480EE81664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PMO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tc={F4C923E3-6C8B-4F43-A394-8F66F39B55AB}</author>
  </authors>
  <commentList>
    <comment ref="O3" authorId="0" shapeId="0" xr:uid="{F4C923E3-6C8B-4F43-A394-8F66F39B55A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PMO
</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tc={07AB2BBB-246B-412A-A3CB-1410652E2F3C}</author>
  </authors>
  <commentList>
    <comment ref="O2" authorId="0" shapeId="0" xr:uid="{07AB2BBB-246B-412A-A3CB-1410652E2F3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PMO
</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tc={51D93492-8505-4FEF-9DBA-E92C9D90717A}</author>
  </authors>
  <commentList>
    <comment ref="O2" authorId="0" shapeId="0" xr:uid="{51D93492-8505-4FEF-9DBA-E92C9D90717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PMO
</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tc={B65AC21F-1988-442D-B0B9-1106FB43526A}</author>
  </authors>
  <commentList>
    <comment ref="O1" authorId="0" shapeId="0" xr:uid="{B65AC21F-1988-442D-B0B9-1106FB43526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PMO
</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tc={93CBDFC7-3917-4C77-8B5D-4B86897B431C}</author>
  </authors>
  <commentList>
    <comment ref="M1" authorId="0" shapeId="0" xr:uid="{93CBDFC7-3917-4C77-8B5D-4B86897B431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PMO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<sst xmlns="http://schemas.openxmlformats.org/spreadsheetml/2006/main" count="6748" uniqueCount="1027">
  <si>
    <t>Frente</t>
  </si>
  <si>
    <t>Si/no</t>
  </si>
  <si>
    <t>Comentario</t>
  </si>
  <si>
    <t>Migración de datos</t>
  </si>
  <si>
    <t>Canal Digital</t>
  </si>
  <si>
    <t>Data</t>
  </si>
  <si>
    <t>Procesos</t>
  </si>
  <si>
    <t>Canal Asistidos</t>
  </si>
  <si>
    <t>Cards &amp; Payments</t>
  </si>
  <si>
    <t>Integración</t>
  </si>
  <si>
    <t>Core</t>
  </si>
  <si>
    <t>Aplicaciones de soporte</t>
  </si>
  <si>
    <t>Infraestructura</t>
  </si>
  <si>
    <t>No Aplica</t>
  </si>
  <si>
    <t>Infra no hace requerimiento funcional</t>
  </si>
  <si>
    <t>Ciberseguridad</t>
  </si>
  <si>
    <t>QA</t>
  </si>
  <si>
    <t>Cut Over</t>
  </si>
  <si>
    <t>No aplica</t>
  </si>
  <si>
    <t>Detalles de Cuenta de Dependencia - Frente con dependencia: Cyberfinancial, Tipo de dependencia: Técnica</t>
  </si>
  <si>
    <t>Artefacto</t>
  </si>
  <si>
    <t>fila</t>
  </si>
  <si>
    <t>Frente con dependencia</t>
  </si>
  <si>
    <t>Frente proveedor</t>
  </si>
  <si>
    <t>Dependencia</t>
  </si>
  <si>
    <t>Descripción</t>
  </si>
  <si>
    <t>Tipo de dependencia</t>
  </si>
  <si>
    <t>Criticidad</t>
  </si>
  <si>
    <t>Fecha requerida</t>
  </si>
  <si>
    <t>Fecha acordada</t>
  </si>
  <si>
    <t>Plan de mitigación</t>
  </si>
  <si>
    <t>Responsable</t>
  </si>
  <si>
    <t>Revisado por PMO</t>
  </si>
  <si>
    <t>Estado</t>
  </si>
  <si>
    <t>BBLOCK</t>
  </si>
  <si>
    <t>Mapa</t>
  </si>
  <si>
    <t>MF-0375</t>
  </si>
  <si>
    <t>Cyberfinancial</t>
  </si>
  <si>
    <t>Bantotal</t>
  </si>
  <si>
    <t>Data de prestamos</t>
  </si>
  <si>
    <t>Generacion de UDA 1 y 2 para envio informacion Préstamos (UAT)</t>
  </si>
  <si>
    <t>Técnica</t>
  </si>
  <si>
    <t>Alta</t>
  </si>
  <si>
    <t>TBD</t>
  </si>
  <si>
    <t>Sonia B.</t>
  </si>
  <si>
    <t>Solicitada</t>
  </si>
  <si>
    <t>Canales Asistidos</t>
  </si>
  <si>
    <t>MF-0377</t>
  </si>
  <si>
    <t>MF-0376</t>
  </si>
  <si>
    <t>MF-0378</t>
  </si>
  <si>
    <t>MF-0379</t>
  </si>
  <si>
    <t>Modellica</t>
  </si>
  <si>
    <t>Archivo LST</t>
  </si>
  <si>
    <t>Disponibilizar archivo LST para estrategia cobranzas (UAT)</t>
  </si>
  <si>
    <t>MF-0345</t>
  </si>
  <si>
    <t>MF-0401</t>
  </si>
  <si>
    <t>Equifax</t>
  </si>
  <si>
    <t>Api de Pagos en Línea</t>
  </si>
  <si>
    <t>Api de Pagos en Línea para exclusión automática de clientes que han abonado sus deudas en campañas de cobranza</t>
  </si>
  <si>
    <t>Medio</t>
  </si>
  <si>
    <t>MF-0400</t>
  </si>
  <si>
    <t>MF-0451</t>
  </si>
  <si>
    <t>Migracion</t>
  </si>
  <si>
    <t>Migracion de Datos (One shot) (UAT)</t>
  </si>
  <si>
    <t>Plan</t>
  </si>
  <si>
    <t xml:space="preserve">MF-0379
</t>
  </si>
  <si>
    <t>Comunicación entre DEV local y PRE ODS</t>
  </si>
  <si>
    <t>Comunicación entre ambientes para probra el SFTP a ser utilizado en la carga diaria y One Shot</t>
  </si>
  <si>
    <t>En progreso</t>
  </si>
  <si>
    <t>Plan}</t>
  </si>
  <si>
    <t xml:space="preserve">MF-0378
</t>
  </si>
  <si>
    <t>Comunicacíón entre ambientes para probra el SFTP a ser utilizado en la carga diaria y One Shot</t>
  </si>
  <si>
    <t xml:space="preserve">MF-0375
</t>
  </si>
  <si>
    <t>Conciliación (TC)</t>
  </si>
  <si>
    <t>Generacion de UDA 6 para envio de informacion TC (UAT)</t>
  </si>
  <si>
    <t>Identificada</t>
  </si>
  <si>
    <t>MF-0392</t>
  </si>
  <si>
    <t>Matricula de app</t>
  </si>
  <si>
    <t>Registro de aplicativo de CyberFinancial en el entra ID de Santander Global (UAT)</t>
  </si>
  <si>
    <t>MF-0393</t>
  </si>
  <si>
    <t>Item</t>
  </si>
  <si>
    <t>fila2</t>
  </si>
  <si>
    <t>Fecha Nueva</t>
  </si>
  <si>
    <t>Comentario PMO</t>
  </si>
  <si>
    <t>VENCIO_30_04</t>
  </si>
  <si>
    <t>M-X</t>
  </si>
  <si>
    <t>Soporte / Modellica (Admisión Crediticia)</t>
  </si>
  <si>
    <t>Riesgos TI</t>
  </si>
  <si>
    <t>Servicio de consulta en línea con Experian y Equifax</t>
  </si>
  <si>
    <t>Contratar el servicio de consulta en línea de Experian y Equifax</t>
  </si>
  <si>
    <t>Darwin C.</t>
  </si>
  <si>
    <t>2.Solicitada</t>
  </si>
  <si>
    <t>Soporte</t>
  </si>
  <si>
    <t>Soporte / KYC - Score AML Batch</t>
  </si>
  <si>
    <t>Proveedor Monitor</t>
  </si>
  <si>
    <t>Proceso Batch</t>
  </si>
  <si>
    <t>Generacion de Archivo SCORE AML mensual</t>
  </si>
  <si>
    <t>Enrique Lopez</t>
  </si>
  <si>
    <t>MF-JH-0005</t>
  </si>
  <si>
    <t>Soporte / Spring ERP</t>
  </si>
  <si>
    <t>Definición de interfaces</t>
  </si>
  <si>
    <t>Definir las interfaces para asientos contables en BT</t>
  </si>
  <si>
    <t>Julio P.</t>
  </si>
  <si>
    <t>1.Identificada</t>
  </si>
  <si>
    <t>MF-JH-0028</t>
  </si>
  <si>
    <t>Soporte / Spring ERP / Gestión de Logistica / Logistica de Proveedores</t>
  </si>
  <si>
    <t>Comunication Manager</t>
  </si>
  <si>
    <t>Habilitación de interfaz de correos</t>
  </si>
  <si>
    <t>Habilitar el envio de correos internos y/o externos</t>
  </si>
  <si>
    <t>Willy V</t>
  </si>
  <si>
    <t>MF-JH-0029</t>
  </si>
  <si>
    <t>Soporte / Spring ERP / Gestión de Logistica / Logistica de Economato</t>
  </si>
  <si>
    <t>MF-JH-0030</t>
  </si>
  <si>
    <t>Soporte / Spring ERP / Gestión de Logistica / Mantenimiento de Oficinas</t>
  </si>
  <si>
    <t>MF-JH-0031</t>
  </si>
  <si>
    <t>Soporte / Spring ERP / Gestión de Logistica / Logistica de Mantenimiento de Almacén</t>
  </si>
  <si>
    <t>MF-JH-0032</t>
  </si>
  <si>
    <t>Soporte / Spring ERP / Gestión de Contratos / Asignación de presupuesto</t>
  </si>
  <si>
    <t>MF-JH-0033</t>
  </si>
  <si>
    <t>Soporte / Spring ERP / Gestión de Contratos / Registro de Contratos de proveedores</t>
  </si>
  <si>
    <t>MF-JH-0034</t>
  </si>
  <si>
    <t>Soporte / Spring ERP / Gestión de Contratos / Registro de adendas</t>
  </si>
  <si>
    <t>MF-JH-0035</t>
  </si>
  <si>
    <t>Soporte / Spring ERP / Gestión de Contratos / Actualización de saldos</t>
  </si>
  <si>
    <t>MF-JH-0036</t>
  </si>
  <si>
    <t>Soporte / Spring ERP / Pago de Obligaciones / Pagos de servicios públicos (agua, luz, etc)</t>
  </si>
  <si>
    <t>MF-JH-0037</t>
  </si>
  <si>
    <t>MF-JH-0038</t>
  </si>
  <si>
    <t>Soporte / Spring ERP / Pago de Obligaciones / Cuentas por pagar/cobrar</t>
  </si>
  <si>
    <t>MF-JH-0039</t>
  </si>
  <si>
    <t>Soporte / Spring ERP / Gestión de activos / Alta y Baja de Activos fijos</t>
  </si>
  <si>
    <t>MF-JH-0040</t>
  </si>
  <si>
    <t>Soporte / Spring ERP / Presupuesto / Control de Presupuesto</t>
  </si>
  <si>
    <t>MF-JH-0041</t>
  </si>
  <si>
    <t>Soporte / Spring ERP / Presupuesto / Inicial de presupuesto anual</t>
  </si>
  <si>
    <t>MF-JH-0042</t>
  </si>
  <si>
    <t>Soporte / Spring ERP / Pago de Obligaciones / Recepción de facturas</t>
  </si>
  <si>
    <t>MF-JH-0043</t>
  </si>
  <si>
    <t>MF-JH-0044</t>
  </si>
  <si>
    <t>Soporte / Spring ERP / Pago de Obligaciones / Pago a Proveedores</t>
  </si>
  <si>
    <t>MF-JH-0045</t>
  </si>
  <si>
    <t>Soporte / Spring ERP / Pago de Obligaciones / Aprobación de facturas</t>
  </si>
  <si>
    <t>MF-JH-0046</t>
  </si>
  <si>
    <t>Soporte / Spring ERP / Pago de Obligaciones / Pago de tributo e impuestos</t>
  </si>
  <si>
    <t>MF-JH-0047</t>
  </si>
  <si>
    <t>Soporte / Spring ERP / Gestión Contable / Generación de Asientos Contables</t>
  </si>
  <si>
    <t>MF-JH-0048</t>
  </si>
  <si>
    <t>Soporte / Spring ERP / Gestión Contable / Cierre Contable</t>
  </si>
  <si>
    <t>MF-JH-0049</t>
  </si>
  <si>
    <t>Soporte / Spring ERP / Reportes / Reportes y Consultas</t>
  </si>
  <si>
    <t>Habilitación de infraestructura</t>
  </si>
  <si>
    <t>Habilitar la infraestructura AWS</t>
  </si>
  <si>
    <t>Hector G.</t>
  </si>
  <si>
    <t>MF-JH-0002</t>
  </si>
  <si>
    <t>Soporte / Spring ERP / Pago de Obligaciones / Habilitación de plantilla Telebanking</t>
  </si>
  <si>
    <t>MF-JH-0003</t>
  </si>
  <si>
    <t>Soporte / Spring ERP / Pago de Obligaciones / Habilitación de plantilla SUNAT</t>
  </si>
  <si>
    <t>MF-JH-0004</t>
  </si>
  <si>
    <t>Soporte / Spring ERP / Pago de Obligaciones / Habilitación de Sincronización de Empleados Adryan</t>
  </si>
  <si>
    <t>Soporte / Spring ERP / Gestión Contable / Habilitación de Asientos Contables con el Core</t>
  </si>
  <si>
    <t>MF-JH-0026</t>
  </si>
  <si>
    <t>Soporte / Modellica (Motor de Cobranzas)</t>
  </si>
  <si>
    <t>Cards y Payments</t>
  </si>
  <si>
    <t>Definición de archivos y campos de Izipay para TC</t>
  </si>
  <si>
    <t>Freddy C.</t>
  </si>
  <si>
    <t>rpta izipay (capacity) - se envia remider a fredy</t>
  </si>
  <si>
    <t>MF-JH-0007</t>
  </si>
  <si>
    <t>Soporte / Consulta en Línea (RENIEC) / Consulta de la Ficha RENIEC</t>
  </si>
  <si>
    <t>Habilitación de infraestructura en OnPremise y AWS</t>
  </si>
  <si>
    <t>3.En progreso</t>
  </si>
  <si>
    <t>Proveedor Synopsis</t>
  </si>
  <si>
    <t>Despliegue de la Solución</t>
  </si>
  <si>
    <t>Despliegue de Solución de Synopsis en OnPremise y AWS</t>
  </si>
  <si>
    <t>Jaime H.</t>
  </si>
  <si>
    <t>MF-JH-0025</t>
  </si>
  <si>
    <t>Soporte / Consulta en Línea (RENIEC) / Reporte diario de todas las consultas de la Ficha RENIEC por usuario</t>
  </si>
  <si>
    <t>RENIEC</t>
  </si>
  <si>
    <t>Habilitación de ambiente Pruebas</t>
  </si>
  <si>
    <t>Habilitación de ambiente de Pruebas</t>
  </si>
  <si>
    <t>4.Resuelta</t>
  </si>
  <si>
    <t>Soporte / Consulta en Línea (RENIEC)</t>
  </si>
  <si>
    <t>Habilitación Pantalla</t>
  </si>
  <si>
    <t>Habilitación de pantalla de consulta dentro de Bantotal Web</t>
  </si>
  <si>
    <t>Pendiente Rpta Bantotal</t>
  </si>
  <si>
    <t>Disponibilización de información</t>
  </si>
  <si>
    <t>Tablas de información de RCC, Core (mora) y Riesgos</t>
  </si>
  <si>
    <t>Jean A.</t>
  </si>
  <si>
    <t>Pendiente acordar fecha</t>
  </si>
  <si>
    <t>Integracion de MS</t>
  </si>
  <si>
    <t>Publicar APIs</t>
  </si>
  <si>
    <t>Jorge P.</t>
  </si>
  <si>
    <t>Soporte / KYC</t>
  </si>
  <si>
    <t>Integrar microservicios con canonicas</t>
  </si>
  <si>
    <t>contrato hasta oct 2026 - darwin</t>
  </si>
  <si>
    <t>Payload de respuesta del WatchList</t>
  </si>
  <si>
    <t>Agregar campos adicionales para la Mesa de Conseciones y Modellica (Admisión Crediticia) cuando se hace match con alguna lista</t>
  </si>
  <si>
    <t>Disponibilización de archivos</t>
  </si>
  <si>
    <t>Archivos de información del Core, TC, Riesgos y CyberFinancial</t>
  </si>
  <si>
    <t>MF-JH-0008</t>
  </si>
  <si>
    <t>Soporte / Adryan Web / Estructura y Organización / Módulo de Organización (Unidades, Centros de Costo, Ubicaciones)</t>
  </si>
  <si>
    <t>MF-JH-0009</t>
  </si>
  <si>
    <t>Soporte / Adryan Web / Estructura y Organización / Módulo de Gestión de Puestos</t>
  </si>
  <si>
    <t>MF-JH-0010</t>
  </si>
  <si>
    <t>Soporte / Adryan Web / Gestión de Personal / Módulo de Administración de Personal (Datos, Contratos - 20 modelos)</t>
  </si>
  <si>
    <t>MF-JH-0011</t>
  </si>
  <si>
    <t>Soporte / Adryan Web / Gestión de Personal / Módulo de Movimiento de Personal (Cambios, Cesaciones)</t>
  </si>
  <si>
    <t>MF-JH-0012</t>
  </si>
  <si>
    <t>Soporte / Adryan Web / Gestión de Personal / Módulo de Actualización de Datos</t>
  </si>
  <si>
    <t>MF-JH-0013</t>
  </si>
  <si>
    <t>Soporte / Adryan Web / Control de Asistencia / Módulo de Asistencia (Turnos, Permisos, Licencias)</t>
  </si>
  <si>
    <t>MF-JH-0014</t>
  </si>
  <si>
    <t>Soporte / Adryan Web / Control de Asistencia / Reportes de ausencias, tardanzas, horas extras</t>
  </si>
  <si>
    <t>MF-JH-0015</t>
  </si>
  <si>
    <t>Soporte / Adryan Web / Gestión de Vacaciones / Módulo de Solicitud de Vacaciones (con notificaciones)</t>
  </si>
  <si>
    <t>MF-JH-0016</t>
  </si>
  <si>
    <t>Soporte / Adryan Web / Gestión de Vacaciones / Reportes de vacaciones gozadas y pendientes</t>
  </si>
  <si>
    <t>MF-JH-0017</t>
  </si>
  <si>
    <t>Soporte / Adryan Web / Compensación y Nómina / Módulo de Administración de Planillas (Conceptos, Cálculos)</t>
  </si>
  <si>
    <t>MF-JH-0018</t>
  </si>
  <si>
    <t>Soporte / Adryan Web / Compensación y Nómina / Cálculo de CTS, Utilidades, Vacaciones</t>
  </si>
  <si>
    <t>MF-JH-0019</t>
  </si>
  <si>
    <t>Soporte / Adryan Web / Compensación y Nómina / Liquidación masiva de cesados</t>
  </si>
  <si>
    <t>MF-JH-0021</t>
  </si>
  <si>
    <t>Soporte / Adryan Web / Compensación y Nómina / Envío de asientos a Bantotal (PLAME, T-Registro, INEI, SBS)</t>
  </si>
  <si>
    <t>MF-JH-0022</t>
  </si>
  <si>
    <t>Soporte / Adryan Web / Gestión de Contratos / Módulo de Renovación de Contratos (20 modelos personalizados)</t>
  </si>
  <si>
    <t>MF-JH-0023</t>
  </si>
  <si>
    <t>Soporte / Adryan Web / Documentos y Autoservicio / Módulo de Autoservicio (Boletas, CTS, Utilidades, Quinta, Certificados)</t>
  </si>
  <si>
    <t>MF-JH-0024</t>
  </si>
  <si>
    <t>Soporte / Adryan Web / Documentos y Autoservicio / Módulo Generador de Reportes personalizados</t>
  </si>
  <si>
    <t>MF-JH-0001</t>
  </si>
  <si>
    <t>Soporte / Adryan Web</t>
  </si>
  <si>
    <t>Definición de interfaces contables</t>
  </si>
  <si>
    <t>Depende de sesiones con Prov.y Edwin P.</t>
  </si>
  <si>
    <t>MF-JH-0027</t>
  </si>
  <si>
    <t>Soporte / Monitor</t>
  </si>
  <si>
    <t xml:space="preserve">Core </t>
  </si>
  <si>
    <t>Generacion de interfaces ( cliente - producto - transsacciones)</t>
  </si>
  <si>
    <t>Baja</t>
  </si>
  <si>
    <t>Iten</t>
  </si>
  <si>
    <t>M-5</t>
  </si>
  <si>
    <t>Bancared</t>
  </si>
  <si>
    <t>Interconexión con terceros</t>
  </si>
  <si>
    <t>Interconexión con Izipay</t>
  </si>
  <si>
    <t>Hector Guerra</t>
  </si>
  <si>
    <t>Cards</t>
  </si>
  <si>
    <t>Interconexión con Kasnet</t>
  </si>
  <si>
    <t>Interconexión con Globalnet</t>
  </si>
  <si>
    <t>Interconexión con Unibanca</t>
  </si>
  <si>
    <t>Globalnet</t>
  </si>
  <si>
    <t>Homologación y Contrato con Globalnet</t>
  </si>
  <si>
    <t>Iniciar coordinaciones para la implementación de las operaciones de TD y TC</t>
  </si>
  <si>
    <t>Administración</t>
  </si>
  <si>
    <t>Byte</t>
  </si>
  <si>
    <t>Homologación y Contrato del proveedor para Sistema de Conciliación</t>
  </si>
  <si>
    <t>Iniciar coordinaciones para la implementación del Sistema de Conciliación</t>
  </si>
  <si>
    <t>Izipay</t>
  </si>
  <si>
    <t>Requerimientos técnicos por parte de Izipay</t>
  </si>
  <si>
    <t>Retraso en la implementación de las funcionalidades del Switch Transaccional para TD y TC</t>
  </si>
  <si>
    <t>Mia Lavandera</t>
  </si>
  <si>
    <t>Infra México</t>
  </si>
  <si>
    <t>Entrega de la Infraestructura requerida para la implementación del Gateway Server y BD para MIG</t>
  </si>
  <si>
    <t>Retraso en la implementación del MIG</t>
  </si>
  <si>
    <t>Leonel Popoca</t>
  </si>
  <si>
    <t>Operaciones de Tarjeta</t>
  </si>
  <si>
    <t>Recopilación funcionalidades/operaciones del Negocio</t>
  </si>
  <si>
    <t>Entrega de matriz de funcionalidades/operaciones de TC</t>
  </si>
  <si>
    <t>Funcional</t>
  </si>
  <si>
    <t>Deysi Reyes</t>
  </si>
  <si>
    <t>Contact Center</t>
  </si>
  <si>
    <t>Diana Llanos</t>
  </si>
  <si>
    <t>Scotiabank</t>
  </si>
  <si>
    <t>Intercambio de llaves con Scotiabank (CVK y PVK, etc)</t>
  </si>
  <si>
    <t>Para ejecución de pruebas en ambiente de UAT</t>
  </si>
  <si>
    <t>César Villanueva</t>
  </si>
  <si>
    <t>Entrega del offset de TD</t>
  </si>
  <si>
    <t>Migración de TD activas actualmente</t>
  </si>
  <si>
    <t>Jean Paul Astonitas</t>
  </si>
  <si>
    <t>Entrega del offset de TC</t>
  </si>
  <si>
    <t>Migración de TC activas actualmente</t>
  </si>
  <si>
    <t>Interconexión con CCE, BCRP</t>
  </si>
  <si>
    <t>Payments</t>
  </si>
  <si>
    <t>Synopsis</t>
  </si>
  <si>
    <t>Configuración de APM con Servidores DESA</t>
  </si>
  <si>
    <t>Permitirá la generación de reportería de TIN</t>
  </si>
  <si>
    <t>Diseño de Infraestructura para EDITRAN</t>
  </si>
  <si>
    <t>Para la configuración de EDITRAN (transferencias diferidas)</t>
  </si>
  <si>
    <t>Arquitectura México</t>
  </si>
  <si>
    <t>Diagrama de arquitectura para instalación de HSMs</t>
  </si>
  <si>
    <t>Instalación de equipos HSMs</t>
  </si>
  <si>
    <t>Arquitectura</t>
  </si>
  <si>
    <t>Entrega del SFTP para Agregados de Pagos</t>
  </si>
  <si>
    <t>Para reportería normativa a CCE y BCRP</t>
  </si>
  <si>
    <t>Cifrado HSM para TIN</t>
  </si>
  <si>
    <t>Cifrado de datos y firma digital para transferencias de alto y bajo valor</t>
  </si>
  <si>
    <t>BB Integración</t>
  </si>
  <si>
    <t>Conexión con BB Integración y BB Canales Digitales</t>
  </si>
  <si>
    <t>Prueba de comunicación de APIs</t>
  </si>
  <si>
    <t>Jorge Paez</t>
  </si>
  <si>
    <t>Instalación de aplicaciones y DB en servidores CCE + LBTR + EDITRAN</t>
  </si>
  <si>
    <t>Instalación de de las aplicaciones de las aplicaicones para la generacion de TIN</t>
  </si>
  <si>
    <t xml:space="preserve">Conexión de Agregador TIN con SMTP </t>
  </si>
  <si>
    <t>Configuración SFTP para Agregados de Pagos</t>
  </si>
  <si>
    <t>Para envio de reportería normativa a BCRP y CCE</t>
  </si>
  <si>
    <t>Unibanca</t>
  </si>
  <si>
    <t>Implementación de la ruta de emisión de TD (Unibanca)</t>
  </si>
  <si>
    <t>Ruta de emisión de TD (Unibanca)</t>
  </si>
  <si>
    <t>Geraldine Córdova</t>
  </si>
  <si>
    <t>Intercambio de llaves + Cifrado de archivos (Unibanca)</t>
  </si>
  <si>
    <t>Archivos (Unibanca)</t>
  </si>
  <si>
    <t>MF-JP-0007</t>
  </si>
  <si>
    <t>Bevertec</t>
  </si>
  <si>
    <t>Switch Transaccional</t>
  </si>
  <si>
    <t>Atención red de cajeros</t>
  </si>
  <si>
    <t>integracion con switch transaccional</t>
  </si>
  <si>
    <t>MF-JP-0050</t>
  </si>
  <si>
    <t>Aplicaciones de Soporte</t>
  </si>
  <si>
    <t>Zytrust</t>
  </si>
  <si>
    <t>Biometria</t>
  </si>
  <si>
    <t>Apertura de CTS</t>
  </si>
  <si>
    <t>Implementar funcionalidad de registro biométrico.</t>
  </si>
  <si>
    <t>MF-JP-0042</t>
  </si>
  <si>
    <t>Apertura de Cuentas de ahorro</t>
  </si>
  <si>
    <t>MF-JP-0153</t>
  </si>
  <si>
    <t>Actualización datos del cliente</t>
  </si>
  <si>
    <t>MF-JP-0051</t>
  </si>
  <si>
    <t>Apertura de Depósito a Plazo Fijo individual/mancomunado</t>
  </si>
  <si>
    <t>MF-JP-0059</t>
  </si>
  <si>
    <t>Generación de desembolso en Banco de la Nación</t>
  </si>
  <si>
    <t>MF-JP-0294</t>
  </si>
  <si>
    <t>Banco de la Nacion</t>
  </si>
  <si>
    <t>Servicio en línea de cobranza y desembolso</t>
  </si>
  <si>
    <t>Envio - Recepción de archivos banco de la nación</t>
  </si>
  <si>
    <t>Servicio en línea de cobranza y desembolso para el nuevo Core Bantotal</t>
  </si>
  <si>
    <t>MF-JP-0170</t>
  </si>
  <si>
    <t>Generar Constancida de No Adeudo - Parcial</t>
  </si>
  <si>
    <t>MF-JP-0171</t>
  </si>
  <si>
    <t>Generar Constancida de No Adeudo - Total</t>
  </si>
  <si>
    <t>MF-JP-0172</t>
  </si>
  <si>
    <t>Consulta de saldos y cronograma.</t>
  </si>
  <si>
    <t>MF-JP-0173</t>
  </si>
  <si>
    <t>Consulta de pago de deuda total, cuota, simulación de pago anticipado.</t>
  </si>
  <si>
    <t>MF-JP-0167</t>
  </si>
  <si>
    <t>Cambio de tasa y envío de nuevo cronograma</t>
  </si>
  <si>
    <t>MF-JP-0168</t>
  </si>
  <si>
    <t>Cambio de Plazo y envío de nuevo cronograma</t>
  </si>
  <si>
    <t>MF-JP-0174</t>
  </si>
  <si>
    <t>Impresión de cronograma</t>
  </si>
  <si>
    <t>MF-JP-0179</t>
  </si>
  <si>
    <t>Pago anticipado / cancelación</t>
  </si>
  <si>
    <t>MF-JP-0120</t>
  </si>
  <si>
    <t>Refinanciado préstamos</t>
  </si>
  <si>
    <t>MF-JP-0112</t>
  </si>
  <si>
    <t>Transferencias entre mis cuentas MB</t>
  </si>
  <si>
    <t>MF-JP-0113</t>
  </si>
  <si>
    <t>Transferencia a otras cuentas terceros MB</t>
  </si>
  <si>
    <t>MF-JP-0110</t>
  </si>
  <si>
    <t>Transferencia Interbancarias Inmediatas de bajo valor CCE</t>
  </si>
  <si>
    <t>MF-JP-0096</t>
  </si>
  <si>
    <t>Depósito en efectivo</t>
  </si>
  <si>
    <t>MF-JP-0108</t>
  </si>
  <si>
    <t>Retiro de efectivo en Soles/Dólares sin TD</t>
  </si>
  <si>
    <t>MF-JP-0104</t>
  </si>
  <si>
    <t>Consulta de saldos e Impresión comprobante de consulta de movimientos</t>
  </si>
  <si>
    <t>MF-JP-0103</t>
  </si>
  <si>
    <t>Consulta e Impresión comprobante de consulta de saldo</t>
  </si>
  <si>
    <t>MF-JP-0118</t>
  </si>
  <si>
    <t>Afiliación de Consentimiento de tratamiento de datos personales, para fines comerciales y biometricos, envío de notificación</t>
  </si>
  <si>
    <t>MF-JP-0115</t>
  </si>
  <si>
    <t>Modificación de datos personales</t>
  </si>
  <si>
    <t>MF-JP-0116</t>
  </si>
  <si>
    <t>Modificación de datos de contacto (incluir marca si usa para transaccionar)</t>
  </si>
  <si>
    <t>MF-JP-0134</t>
  </si>
  <si>
    <t>Cancelación de cuenta CTS</t>
  </si>
  <si>
    <t>MF-JP-0139</t>
  </si>
  <si>
    <t>Depositar fondos en cuenta - Proceso individual</t>
  </si>
  <si>
    <t>MF-JP-0140</t>
  </si>
  <si>
    <t>Depositar fondos en cuenta - Proceso masivo</t>
  </si>
  <si>
    <t>MF-JP-0142</t>
  </si>
  <si>
    <t>Retirar el disponible del saldo</t>
  </si>
  <si>
    <t>MF-JP-0133</t>
  </si>
  <si>
    <t>Afiliación de cuenta de CTS a TD</t>
  </si>
  <si>
    <t>MF-JP-0132</t>
  </si>
  <si>
    <t>Cambio cuenta BT del empleador asociado a la cuenta</t>
  </si>
  <si>
    <t>MF-JP-0043</t>
  </si>
  <si>
    <t>Mantenimiento de firmas/beneficiarios</t>
  </si>
  <si>
    <t>MF-JP-0101</t>
  </si>
  <si>
    <t>Afiliación de cuenta de ahorro a TD</t>
  </si>
  <si>
    <t>MF-JP-0144</t>
  </si>
  <si>
    <t>Renovación / modificación instrucciones</t>
  </si>
  <si>
    <t>MF-JP-0145</t>
  </si>
  <si>
    <t>Cancelación anticipada: tasa tarifario</t>
  </si>
  <si>
    <t>MF-JP-0146</t>
  </si>
  <si>
    <t>Cancelación anticipada: tasa mejorada</t>
  </si>
  <si>
    <t>MF-JP-0147</t>
  </si>
  <si>
    <t>Bloqueo/Desbloqueo y envío de notificación</t>
  </si>
  <si>
    <t>MF-JP-0151</t>
  </si>
  <si>
    <t>Reimpresión de comprobante de depósito</t>
  </si>
  <si>
    <t>MF-JP-0182</t>
  </si>
  <si>
    <t>Devolución</t>
  </si>
  <si>
    <t>MF-JP-0186</t>
  </si>
  <si>
    <t>Activar y desactivar notificaciones de tarjeta de débito</t>
  </si>
  <si>
    <t>MF-JP-0187</t>
  </si>
  <si>
    <t>Cambio PIN de TD por olvido de PIN y envío de notificación</t>
  </si>
  <si>
    <t>MF-JP-0188</t>
  </si>
  <si>
    <t>Consulta de la TD (saldo disponible, movimientos y afiliaciones)</t>
  </si>
  <si>
    <t>MF-JP-0189</t>
  </si>
  <si>
    <t>Habilitación de limites TD y envío de notificación</t>
  </si>
  <si>
    <t>MF-JP-0190</t>
  </si>
  <si>
    <t>Remisión de tarjeta de débito con/sin clave</t>
  </si>
  <si>
    <t>MF-JP-0191</t>
  </si>
  <si>
    <t>Bloqueo/Desblolqueo de TD y envío de notificaciones</t>
  </si>
  <si>
    <t>MF-JP-0155</t>
  </si>
  <si>
    <t>50/36 COMPRA DE US DOLARES EMPLEADOS</t>
  </si>
  <si>
    <t>MF-JP-0156</t>
  </si>
  <si>
    <t xml:space="preserve">50/37 VENTA DE US DOLARES EMPLEADOS </t>
  </si>
  <si>
    <t>MF-JP-0157</t>
  </si>
  <si>
    <t xml:space="preserve">50/40 COMPRA DE US DOLARES          </t>
  </si>
  <si>
    <t>MF-JP-0158</t>
  </si>
  <si>
    <t xml:space="preserve">50/41 VENTA DE US DOLARES           </t>
  </si>
  <si>
    <t>MF-JP-0159</t>
  </si>
  <si>
    <t xml:space="preserve">50/101 COMPRA US DOLARES TC ESPECIAL </t>
  </si>
  <si>
    <t>MF-JP-0160</t>
  </si>
  <si>
    <t xml:space="preserve">50/102 VENTA US DOLARES TC ESPECIAL  </t>
  </si>
  <si>
    <t>MF-JP-0161</t>
  </si>
  <si>
    <t xml:space="preserve">50/577 VENTA DE US DOLARES X CAMPA¥A </t>
  </si>
  <si>
    <t>MF-JP-0162</t>
  </si>
  <si>
    <t xml:space="preserve">t /t PAGO DE CUENTAS POR COBRAR    </t>
  </si>
  <si>
    <t>MF-JP-0163</t>
  </si>
  <si>
    <t xml:space="preserve">50/574 COMPRA US DOLARES CAMPA¥A A   </t>
  </si>
  <si>
    <t>MF-JP-0164</t>
  </si>
  <si>
    <t xml:space="preserve">50/578 VENTA US DOLARES CAMPA¥A B    </t>
  </si>
  <si>
    <t>MF-JP-0165</t>
  </si>
  <si>
    <t>51/505 ENVIO DE EFECTIVO AL CLIENTE</t>
  </si>
  <si>
    <t>MF-JP-0109</t>
  </si>
  <si>
    <t>Retiro de efectivo en Soles/Dólares con TD</t>
  </si>
  <si>
    <t>MF-JP-0097</t>
  </si>
  <si>
    <t>Depósito con cheque - O/B al cobro</t>
  </si>
  <si>
    <t>MF-JP-0192</t>
  </si>
  <si>
    <t>Activar y desactivar configuraciones compras por internet y exterior de tarjeta de débito, y envío de notificaciones</t>
  </si>
  <si>
    <t>MF-JP-0199</t>
  </si>
  <si>
    <t>Cambio de tipo de cuenta de Libre a Imparable y envío de notificación</t>
  </si>
  <si>
    <t>MF-JP-0143</t>
  </si>
  <si>
    <t>Transferencia de CTS a Cuenta de Ahorros</t>
  </si>
  <si>
    <t>MF-JP-0180</t>
  </si>
  <si>
    <t>Pago cuota vigente/vencido</t>
  </si>
  <si>
    <t>MF-JP-0136</t>
  </si>
  <si>
    <t>MF-JP-0135</t>
  </si>
  <si>
    <t>MF-JP-0141</t>
  </si>
  <si>
    <t>MF-JP-0060</t>
  </si>
  <si>
    <t>Generación del desembolso de Préstamo Personal</t>
  </si>
  <si>
    <t>MF-JP-0076</t>
  </si>
  <si>
    <t>Generación del desembolso de xtralínea</t>
  </si>
  <si>
    <t>MF-JP-0056</t>
  </si>
  <si>
    <t>Consentimiento de datos de cliente</t>
  </si>
  <si>
    <t>MF-JP-0049</t>
  </si>
  <si>
    <t>Afiliación de CTS y la TD, la creación del PIN y afiliación de notificación</t>
  </si>
  <si>
    <t>MF-JP-0041</t>
  </si>
  <si>
    <t>Afiliación de la cuenta de ahorro y la TD, la creación del PIN y afiliación de notificación</t>
  </si>
  <si>
    <t>MF-JP-0071</t>
  </si>
  <si>
    <t>Aprobación de la Tarjeta de Crédito</t>
  </si>
  <si>
    <t>MF-JP-0074</t>
  </si>
  <si>
    <t>Relacionamiento de la Tarjeta de Crédito</t>
  </si>
  <si>
    <t>MF-JP-0070</t>
  </si>
  <si>
    <t>Activación de servicios de Tarjeta de Crédito</t>
  </si>
  <si>
    <t>MF-JP-0073</t>
  </si>
  <si>
    <t>Generación de PIN TC</t>
  </si>
  <si>
    <t>MF-JP-0077</t>
  </si>
  <si>
    <t>Generación del desembolso de Xtralínea se sincroniza con la procesadora</t>
  </si>
  <si>
    <t>MF-JP-0102</t>
  </si>
  <si>
    <t>Afiliación Pago Contacto</t>
  </si>
  <si>
    <t>MF-JP-0181</t>
  </si>
  <si>
    <t>Pago Adelanto de cuota</t>
  </si>
  <si>
    <t>MF-JP-0176</t>
  </si>
  <si>
    <t>Afiliación de Estado de situación del préstamo y envío de notificación</t>
  </si>
  <si>
    <t>MF-JP-0177</t>
  </si>
  <si>
    <t>Desafiliación de Estado de situación del préstamo y envío de notificación</t>
  </si>
  <si>
    <t>MF-JP-0119</t>
  </si>
  <si>
    <t>Desafiliación de Consentimiento de tratamiento de datos personales, para fines comerciales y biometricos, envío de notificación</t>
  </si>
  <si>
    <t>MF-JP-0117</t>
  </si>
  <si>
    <t>Modificación del KYC (PEP, Fatca/CRS, actividad laboral)</t>
  </si>
  <si>
    <t>MF-JP-0106</t>
  </si>
  <si>
    <t>Desafiliación Pago Contacto</t>
  </si>
  <si>
    <t>Integracion</t>
  </si>
  <si>
    <t>DMS (Document manager system)</t>
  </si>
  <si>
    <t>Almacenamiento de documentos</t>
  </si>
  <si>
    <t xml:space="preserve">Integracion con el DMS </t>
  </si>
  <si>
    <t>MF-JP-0169</t>
  </si>
  <si>
    <t>Reprogramación de creditos vigentes</t>
  </si>
  <si>
    <t>Communication manager</t>
  </si>
  <si>
    <t>Envio de notificacion (correo,OTP,mensaje de texto)</t>
  </si>
  <si>
    <t>Integracion con el communication manager</t>
  </si>
  <si>
    <t>MF-JP-0196</t>
  </si>
  <si>
    <t>Cierre de cuenta masivo y envío de notificación</t>
  </si>
  <si>
    <t>MF-JP-0274</t>
  </si>
  <si>
    <t>Envío mails operativos</t>
  </si>
  <si>
    <t>MF-JP-0072</t>
  </si>
  <si>
    <t>Evaluación de la Tarjeta de Crédito</t>
  </si>
  <si>
    <t>HIPER</t>
  </si>
  <si>
    <t>Integracion con dispositivos PINPAD</t>
  </si>
  <si>
    <t>operaciones con PINPAD</t>
  </si>
  <si>
    <t>Parametrizacion de servicio PINPAD</t>
  </si>
  <si>
    <t xml:space="preserve">Funcionalidades que se necesita notificar al Cliente e informar al Switch </t>
  </si>
  <si>
    <t>App-Login</t>
  </si>
  <si>
    <t>Interno-negocio SCB</t>
  </si>
  <si>
    <t>Deficion Filtros - query de listado de clientes BT para crear usuario digital en SSS-Dynamo.</t>
  </si>
  <si>
    <t>Definir en conjunto con Angela y Carina los filtros a considerar en el query de consulta a la BD Bantotal para obtener listado de clientes a migrar a SSS-Dynamo para que se creen los usuarios digitales con clave en blanco(para resetear).</t>
  </si>
  <si>
    <t xml:space="preserve">Angela </t>
  </si>
  <si>
    <t>Digital</t>
  </si>
  <si>
    <t>- Confirmar fecha</t>
  </si>
  <si>
    <t>ODS</t>
  </si>
  <si>
    <t>Definir por parte de SSS la ruta donde desea que llegue el archivo de clientes migrados</t>
  </si>
  <si>
    <t>Procedimiento en SSS para carga de archivo de clientes migrados</t>
  </si>
  <si>
    <t xml:space="preserve">contar con Procedimiento/script implementado por SSS para cargar de archivo de clientes migrados. </t>
  </si>
  <si>
    <t>Virginia C.</t>
  </si>
  <si>
    <t>App-Recuperar Contraseña</t>
  </si>
  <si>
    <t>Prevencion de fraudes</t>
  </si>
  <si>
    <t>Definicion de trama (campos) requerida por PF para monitorear la funcionalidad de recuperar contraseña</t>
  </si>
  <si>
    <t>Ya se han realizado sessiones de trabajo con equipo de prevencion de fraudes y definido tramas para las funcionalidades del P1 , solo estaría quedando pendiente para el P1 la trama para la funcionalidad de recuperar contraseña</t>
  </si>
  <si>
    <t>Maria Flores</t>
  </si>
  <si>
    <t>App-Pago de Tarjeta de credito</t>
  </si>
  <si>
    <t>CM</t>
  </si>
  <si>
    <t>Disponibilidad del CM en ambiente TEST para configurar plantilla de notificacion</t>
  </si>
  <si>
    <t>New LT CM</t>
  </si>
  <si>
    <t>App - Interoperabilidad</t>
  </si>
  <si>
    <t>BT / Apis Globales / CD</t>
  </si>
  <si>
    <t>Definir apis requeridas que BT tiene que implementar para interoperabilidad</t>
  </si>
  <si>
    <t>Sessiones de trabajo en conjunto con Bantotal, apis globales, Payments y canales digitales para definir las apis que BT debe implementar para soportar y probar la funcionalidad de Interoperabilidad</t>
  </si>
  <si>
    <t>Arnol Ingunza</t>
  </si>
  <si>
    <t>BT</t>
  </si>
  <si>
    <t>plan de apis BT de interoperabilidad</t>
  </si>
  <si>
    <t>posterior a session de definicion de apis BT , se debe obtener un plan de apis con fechas comprometidas en las que se van a poder utilizar por el canal App</t>
  </si>
  <si>
    <t>Julio Palomino</t>
  </si>
  <si>
    <t>App - transferencias inmediatas interbancarias</t>
  </si>
  <si>
    <t>Publicacion de cambios tecnicos por version ODS R10</t>
  </si>
  <si>
    <t>Analisis de impacto posterior a la publicacion de cambios tecnicos por R10 (comentado para fin de abril) para la implementacion de funcionalidad de transferencias inmediatas</t>
  </si>
  <si>
    <t>Ana Marcos</t>
  </si>
  <si>
    <t>App - Pago de prestamo</t>
  </si>
  <si>
    <t>liberacion de nueva version ODS R10 para el programa Perú</t>
  </si>
  <si>
    <t>Revisión funcional, tecnica y de experiencia post liberacion de nueva version R10 ODS</t>
  </si>
  <si>
    <t>- Confirmar fecha
- Donde está la solicitud</t>
  </si>
  <si>
    <t>App - Enrolamiento del dispositivo de confianza</t>
  </si>
  <si>
    <t>liberar capacidad de biometría con Reniec de parte de ODS en R10 para enrolamiento dispositivo</t>
  </si>
  <si>
    <t>liberar capacidad de biometría con Reniec de parte de ODS en R10 para incluirlo como reto de seguridad en enrolamiento de dispositivo.</t>
  </si>
  <si>
    <t>App-Cross</t>
  </si>
  <si>
    <t>Publicacion de apis impactadas por version ODS R10</t>
  </si>
  <si>
    <t>Se requiere la publicacion del listado de apis globales a consumir por el canal, impactadas por nueva version ODS con su detalle respectivo. Con ello realizar una analisis general de impacto en  todas las funcionalidades del canal</t>
  </si>
  <si>
    <t>Figmas tropicalizados Peru de Funcionalidades PI2</t>
  </si>
  <si>
    <t>Diseño de Figmas Tropicalizados de PI2 (Cards, Frontend Services, Security, Loans, PG, Deposits)</t>
  </si>
  <si>
    <t xml:space="preserve">De las epicas 14 ya solicitadas - ok
</t>
  </si>
  <si>
    <t xml:space="preserve">scripts de pruebas automatizadas de PI 1 subidos en su GITHUB </t>
  </si>
  <si>
    <t>Lo coordinado con ODS es que compartan sus scripts automatizados para hacerle adecuaciones para ejecucion de pruebas end to end Perú. se espera que estos scripts lleguen a finales de marzo, maximo primera semana de abril (funcionalidades :device manager, app information, customer landing, personal detail, account detail)</t>
  </si>
  <si>
    <t>entrega de apis globales PI 2 - en fechas planificadas</t>
  </si>
  <si>
    <t xml:space="preserve">Contar con la entrega de endpoints planificados para el PI 2 :
-D0-046-V3, D1-078, D1-081, D1-084, D1-001
-D1-111_v2, D1-169, D1-173, D1-204, D1-002
-D0-072_v2, D1-120, D1-121, D2-001, D1-007
</t>
  </si>
  <si>
    <t>Figmas tropicalizados Peru de Funcionalidades PI2 ampliado</t>
  </si>
  <si>
    <t>Se ha solicita 3 épicas adicionales, pendiente entrega de los figmas personalizados</t>
  </si>
  <si>
    <t>Media</t>
  </si>
  <si>
    <t>De las nuevas solicitudes, la fecha de entrega es al 30/04</t>
  </si>
  <si>
    <t>PG: Espacios conversacionales - ofertas preaprobadas</t>
  </si>
  <si>
    <t>Canal digital-equipo interno</t>
  </si>
  <si>
    <t>Implementar un front backoffice para gestionar las imagenes y estilos para espacios conversacionales</t>
  </si>
  <si>
    <t>Implementar un front backoffice para gestionar las imagenes y los estilos de  titulos y textos a mostrar en los espacios conversaciones que es el primer paso para un proceso de contracting.</t>
  </si>
  <si>
    <t>Luis Rosales</t>
  </si>
  <si>
    <t>- Revisar fecha</t>
  </si>
  <si>
    <t>PG : Visualizar lista de productos disponibles del cliente</t>
  </si>
  <si>
    <t>Negocio Pasivos</t>
  </si>
  <si>
    <t>Cerrar estados de tarjetas de credito</t>
  </si>
  <si>
    <t xml:space="preserve">Se necesita que negocio cierre todos los estados que pueda manejar las tarjetas de Crédito dentro de Izipay por ello se debe de hacer una mesa de trabajo con el BB de Cards después que se defina que tarjetas de crédito quiere mostrar en la app. </t>
  </si>
  <si>
    <t>Angela Verde</t>
  </si>
  <si>
    <t>Se obtuvo VB con el negocio, Henry envía evidencia</t>
  </si>
  <si>
    <t>Visualización del listado de tarjetas ( TC y TD)</t>
  </si>
  <si>
    <t>Implementar backend cards para reemplazar backend simulado que consume apis globales</t>
  </si>
  <si>
    <t>Actualmente las apis globales de cards utilizan simuladores para el backend de cards , por lo cual se necesita se reemplace por el backend formal para completar una prueba real</t>
  </si>
  <si>
    <t>Pago de TC ( mínimo|total mes|Voluntario)</t>
  </si>
  <si>
    <t>Implementar backend cards para reemplazar backend simulado en operacion monetaria</t>
  </si>
  <si>
    <t>Actualmente las apis globales de cards utilizan simuladores para el backend de cards, lo cual no permite generar el end to end que incluya la contabilidad</t>
  </si>
  <si>
    <t>Detalles para Cuenta de Criticidad - Descripción: Configuracion de reportes Contact Center, Frente con dependencia: SPACE, Frente proveedor: Aplicaciones de Soporte (+)</t>
  </si>
  <si>
    <t>MF-03400</t>
  </si>
  <si>
    <t>SPACE</t>
  </si>
  <si>
    <t>Definir la información que se requiere enviar al Datalake</t>
  </si>
  <si>
    <t>Configuracion de reportes Contact Center</t>
  </si>
  <si>
    <t>Detalles para Cuenta de Criticidad - Descripción: Configuracion de Roles Contact Center, Frente con dependencia: SPACE, Frente proveedor: Aplicaciones de Soporte (+)</t>
  </si>
  <si>
    <t>MF-03430</t>
  </si>
  <si>
    <t>Negocio</t>
  </si>
  <si>
    <t>Definir los roles para contact center</t>
  </si>
  <si>
    <t>Configuracion de Roles Contact Center</t>
  </si>
  <si>
    <t>Detalles para Cuenta de Criticidad - Descripción: Integracion en el iframe con parametros, Frente con dependencia: SPACE, Frente proveedor: Aplicaciones de Soporte (+)</t>
  </si>
  <si>
    <t>MF-04480</t>
  </si>
  <si>
    <t>Integracion Cyberfinancial</t>
  </si>
  <si>
    <t>Integracion en el iframe con parametros</t>
  </si>
  <si>
    <t>Detalles para Cuenta de Criticidad - Descripción: Link de ingreso a Reniec desde SPACE, Frente con dependencia: SPACE, Frente proveedor: Aplicaciones de Soporte (+)</t>
  </si>
  <si>
    <t>MF-04250</t>
  </si>
  <si>
    <t>Reniec</t>
  </si>
  <si>
    <t>Conexión a RENIEC</t>
  </si>
  <si>
    <t>Link de ingreso a Reniec desde SPACE</t>
  </si>
  <si>
    <t>(Todas)</t>
  </si>
  <si>
    <t>Etiquetas de fila</t>
  </si>
  <si>
    <t>Cuenta de Criticidad</t>
  </si>
  <si>
    <t>Cerrar con las historias de usaurio asocidas al PI3</t>
  </si>
  <si>
    <t>Control M: transferencia de archivos</t>
  </si>
  <si>
    <t>Habilitacion de usuarios de desarrollo AWS DATA</t>
  </si>
  <si>
    <t>Migracion de audios cobranza</t>
  </si>
  <si>
    <t>Actualización de pagos en bantotal de TC</t>
  </si>
  <si>
    <t>Actualización de pagos en bantotal de TD</t>
  </si>
  <si>
    <t>Cerrar con las historias de usuario asocidas al PI2</t>
  </si>
  <si>
    <t>Validación de formatos blancos 1, 2 y 6</t>
  </si>
  <si>
    <t>Solicitud de data de prueba – Base de Datos RGTRABAJO</t>
  </si>
  <si>
    <t>Mesa de Concesiones</t>
  </si>
  <si>
    <t>Definición de atención de Mesa de Autonomías</t>
  </si>
  <si>
    <t>Definición de estructura de documentos para los sustentos por observación</t>
  </si>
  <si>
    <t>Definición de modelo de atención en Bandeja de Mesa de Concesiones (Asignación manual / automática)</t>
  </si>
  <si>
    <t>Definición de módulo de administración de Autonomías</t>
  </si>
  <si>
    <t>Definición de roles que tendrán acceso a Mesa de Concesiones</t>
  </si>
  <si>
    <t>Definición de SLAs de atención y planes de acción</t>
  </si>
  <si>
    <t>Habilitación para integración con entraID</t>
  </si>
  <si>
    <t>Integración con BT para enviar solicitudes evaluadas a Mesa de Concesiones</t>
  </si>
  <si>
    <t>Integración con SPACE para embeber Mesa de Concesiones</t>
  </si>
  <si>
    <t>Definición de notificaciones dentro de la Gestión de rechazo de la solicitud</t>
  </si>
  <si>
    <t>Definir las modificaciones de documentos y registro de trazabilidad</t>
  </si>
  <si>
    <t>Desarrollo de 8 APIs para obtener resultados de evaluación, gestor documental y notificaciones</t>
  </si>
  <si>
    <t>Definición de KPIs, dashboard y vistas clave para el supervisor</t>
  </si>
  <si>
    <t>Reclamos y Dalis</t>
  </si>
  <si>
    <t>Configuración de roles para agencias (DALIS)</t>
  </si>
  <si>
    <t>Configuración de roles para agencias (RECLAMOS)</t>
  </si>
  <si>
    <t>Configuración de roles para back office (DALIS)</t>
  </si>
  <si>
    <t>Configuración de roles para back office (RECLAMOS)</t>
  </si>
  <si>
    <t>Configuración los roles para contact center (DALIS)</t>
  </si>
  <si>
    <t>Configuración los roles para contact center (RECLAMOS)</t>
  </si>
  <si>
    <t>Disponibilizar informacion historica de Dalis en datalake.</t>
  </si>
  <si>
    <t>Disponibilizar informacion historica de reclamos en datalake.</t>
  </si>
  <si>
    <t>Habilitar firewalls en la VPN local para ingresar al ambiente preproductivo de Reclamos y DALIs</t>
  </si>
  <si>
    <t>Integración tipo batch para la comunicación entre IZIPAY y BANTOTAL para el sistema de reclamos y DALIs – canal Agencia.</t>
  </si>
  <si>
    <t>Integración tipo batch para la comunicación entre IZIPAY y BANTOTAL para el sistema de reclamos y DALIs – canal Contact Center</t>
  </si>
  <si>
    <t>Se dejará la información en el bucket S3 con los reclamos generados desde la Web Institucional, y esta viajará en un proceso tipo batch hacia la bandeja de preregistro del sistema de Reclamos.</t>
  </si>
  <si>
    <t>Migracion historica de reclamos y carga de audios.</t>
  </si>
  <si>
    <t>Agregar el campo estado de movimientos para tarjetas de débito</t>
  </si>
  <si>
    <t xml:space="preserve">Autenticación/Identificación de cliente con huellero </t>
  </si>
  <si>
    <t>Carga inicial</t>
  </si>
  <si>
    <t>Central Telefonica</t>
  </si>
  <si>
    <t>Configuración de campañas para agente de cobranza</t>
  </si>
  <si>
    <t>Configuración de campañas para agente de servicio</t>
  </si>
  <si>
    <t>Configuracion de reportes Agencia</t>
  </si>
  <si>
    <t>Configuracion de Roles Agencias</t>
  </si>
  <si>
    <t>Configuracion de Roles Genesys cloud</t>
  </si>
  <si>
    <t>Confirmación de estados de las tarjetas</t>
  </si>
  <si>
    <t>Confirmacion de funcionalidades actuales de DMS y roles para on demand</t>
  </si>
  <si>
    <t>Confirmar con BT el origen de la base de fraudes para la integración con APIs</t>
  </si>
  <si>
    <t>Confirmar con BT el origen de la base de países restringidos o prohibidos</t>
  </si>
  <si>
    <t xml:space="preserve">Confirmar donde residirán los No clientes (Personas que NO son clientes del Banco) </t>
  </si>
  <si>
    <t>Confirmar funcionalidades en las herramientas Vision+ e IG, entre otras.</t>
  </si>
  <si>
    <t>Confirmar los segmentos para que se derive a las colas de asesores dentro de la integración con IVR</t>
  </si>
  <si>
    <t>Creación de un ambiente pre productivo espejo</t>
  </si>
  <si>
    <t>Definición de estados de tarjeta de débito y motivos de bloqueo</t>
  </si>
  <si>
    <t xml:space="preserve">Definir fuente origen para carga de campañas </t>
  </si>
  <si>
    <t>Definir que herramienta se usara para llamadas en las agencias</t>
  </si>
  <si>
    <t>Disponibilidad del dispositivo biometrico</t>
  </si>
  <si>
    <t xml:space="preserve">Estructura Comercial de Agencias y CC </t>
  </si>
  <si>
    <t>Generación de reportes de usuarios con información retornada de Space</t>
  </si>
  <si>
    <t>Habilitación de Equipo con Biomatch Client</t>
  </si>
  <si>
    <t>Habilitacion de telefonía para el contact center</t>
  </si>
  <si>
    <t>Integración con aplicación de consulta de estados de cuenta</t>
  </si>
  <si>
    <t>Integración con aplicación de quejas y reclamos</t>
  </si>
  <si>
    <t>Integracion con Entra ID</t>
  </si>
  <si>
    <t xml:space="preserve">Integración de la web asistidos </t>
  </si>
  <si>
    <t>Proceso de exportación de campañas</t>
  </si>
  <si>
    <t>Proceso de exportación de clientes desde BT</t>
  </si>
  <si>
    <t>Proceso de exportación de prospectos</t>
  </si>
  <si>
    <t>Validación de las Url's de las aplicaciones externas a embeber en Space</t>
  </si>
  <si>
    <t>Integración con cyberfinancial</t>
  </si>
  <si>
    <t>Proceso de exportación de NO CLIENTES desde XXXXX</t>
  </si>
  <si>
    <t>Desarrollo de 8 Apis por parte de ODS (IVR)</t>
  </si>
  <si>
    <t>Integración con aplicación web de Prosegur</t>
  </si>
  <si>
    <t>Integración con aplicación web de Enotria</t>
  </si>
  <si>
    <t>Genesys Cloud</t>
  </si>
  <si>
    <t>Contar con Datalake para almacenamiento de información</t>
  </si>
  <si>
    <t>Total general</t>
  </si>
  <si>
    <t>id_frente</t>
  </si>
  <si>
    <t>F01</t>
  </si>
  <si>
    <t>Migracion de datos</t>
  </si>
  <si>
    <t>F02</t>
  </si>
  <si>
    <t>Canal Digital (web + APP)</t>
  </si>
  <si>
    <t>F03</t>
  </si>
  <si>
    <t>F04</t>
  </si>
  <si>
    <t>F05</t>
  </si>
  <si>
    <t>F06</t>
  </si>
  <si>
    <t>F07</t>
  </si>
  <si>
    <t>F08</t>
  </si>
  <si>
    <t>F09</t>
  </si>
  <si>
    <t>F10</t>
  </si>
  <si>
    <t>F11</t>
  </si>
  <si>
    <t>F12</t>
  </si>
  <si>
    <t>Cut Over Y QA</t>
  </si>
  <si>
    <t>P-1</t>
  </si>
  <si>
    <t>Definiciones de TC</t>
  </si>
  <si>
    <t>Detalle, cerrar definiciones con Izipay</t>
  </si>
  <si>
    <t>sasdasdasd</t>
  </si>
  <si>
    <t>Fredy C.</t>
  </si>
  <si>
    <t>M-2</t>
  </si>
  <si>
    <t>Datos</t>
  </si>
  <si>
    <t>Dataset clientes</t>
  </si>
  <si>
    <t>Generar la BD a migrar</t>
  </si>
  <si>
    <t>P-3</t>
  </si>
  <si>
    <t>API consulta de saldo</t>
  </si>
  <si>
    <t>Endpoint</t>
  </si>
  <si>
    <t>P-4</t>
  </si>
  <si>
    <t>Flujo de atención de reclamos</t>
  </si>
  <si>
    <t>Elaborar procedimientos para los clientes con reclamos</t>
  </si>
  <si>
    <t>Cards y Paymets</t>
  </si>
  <si>
    <t>Flujo de emisión de tarjetas</t>
  </si>
  <si>
    <t>Procesos de emisión y activación</t>
  </si>
  <si>
    <t xml:space="preserve">Frente </t>
  </si>
  <si>
    <t>Fila</t>
  </si>
  <si>
    <t>P-391</t>
  </si>
  <si>
    <t>Seguridad y Redes</t>
  </si>
  <si>
    <t>Conectividad</t>
  </si>
  <si>
    <t>Cesar Villanueva</t>
  </si>
  <si>
    <t>P-360</t>
  </si>
  <si>
    <t>Control M</t>
  </si>
  <si>
    <t>Habilitacion de accesos</t>
  </si>
  <si>
    <t>P-353</t>
  </si>
  <si>
    <t>Integracion Entra ID</t>
  </si>
  <si>
    <t>P-349</t>
  </si>
  <si>
    <t>P-169</t>
  </si>
  <si>
    <t>P-031</t>
  </si>
  <si>
    <t>MF-06210</t>
  </si>
  <si>
    <t>MF-05967</t>
  </si>
  <si>
    <t>Jean Paul</t>
  </si>
  <si>
    <t>MF-05940</t>
  </si>
  <si>
    <t>Definición de modificaciones de documentos</t>
  </si>
  <si>
    <t>Jorge Urrutia</t>
  </si>
  <si>
    <t>MF-05890</t>
  </si>
  <si>
    <t>Definición de notificaciones</t>
  </si>
  <si>
    <t>MF-05880</t>
  </si>
  <si>
    <t>Definición de checklist de documentos por rechazo</t>
  </si>
  <si>
    <t>MF-05870</t>
  </si>
  <si>
    <t>Apis</t>
  </si>
  <si>
    <t>MF-05860</t>
  </si>
  <si>
    <t>Definición de funcionalidades para la Bandeja de Supervisor</t>
  </si>
  <si>
    <t>MF-05850</t>
  </si>
  <si>
    <t>Definición de diseño de mesa de autonomía</t>
  </si>
  <si>
    <t>Definición administrador de autonomías</t>
  </si>
  <si>
    <t>Riesgos compartió las funcionalidades que actualmente manejan</t>
  </si>
  <si>
    <t>MF-05840</t>
  </si>
  <si>
    <t>Definición modelo de atención</t>
  </si>
  <si>
    <t>17/04/2026</t>
  </si>
  <si>
    <t>Definición de SLAs</t>
  </si>
  <si>
    <t>MF-05830</t>
  </si>
  <si>
    <t xml:space="preserve"> </t>
  </si>
  <si>
    <t>Integración con SPACE</t>
  </si>
  <si>
    <t>MF-05800</t>
  </si>
  <si>
    <t>Definición de roles</t>
  </si>
  <si>
    <t>MF-05790</t>
  </si>
  <si>
    <t>Fuente de origen de campañas</t>
  </si>
  <si>
    <t>MF-05770</t>
  </si>
  <si>
    <t>Fuente de origen de clientes desde BT</t>
  </si>
  <si>
    <t>MF-05760</t>
  </si>
  <si>
    <t>Definición de carga de datos</t>
  </si>
  <si>
    <t>Confirmacion de información</t>
  </si>
  <si>
    <t>Configuracion de estructura comercial</t>
  </si>
  <si>
    <t>MF-05750</t>
  </si>
  <si>
    <t>MF-05740</t>
  </si>
  <si>
    <t>Fuente de origen de prospectos</t>
  </si>
  <si>
    <t>MF-05730</t>
  </si>
  <si>
    <t>MF-05720</t>
  </si>
  <si>
    <t>MF-05710</t>
  </si>
  <si>
    <t>Definir los roles para back office</t>
  </si>
  <si>
    <t>MF-05700</t>
  </si>
  <si>
    <t>Definir los roles para agencias</t>
  </si>
  <si>
    <t>MF-05690</t>
  </si>
  <si>
    <t>MF-05680</t>
  </si>
  <si>
    <t>MF-05670</t>
  </si>
  <si>
    <t>MF-05660</t>
  </si>
  <si>
    <t>MF-05653</t>
  </si>
  <si>
    <t>Ambiente pre productivo espejo</t>
  </si>
  <si>
    <t>MF-05652</t>
  </si>
  <si>
    <t>DATA</t>
  </si>
  <si>
    <t>Explotacion de datos</t>
  </si>
  <si>
    <t>MF-05650</t>
  </si>
  <si>
    <t>Web Institucional</t>
  </si>
  <si>
    <t>Integración &amp; Conectividad</t>
  </si>
  <si>
    <t>Henry J.</t>
  </si>
  <si>
    <t>MF-05620</t>
  </si>
  <si>
    <t>MF-05500</t>
  </si>
  <si>
    <t xml:space="preserve">Actualización de pagos en Bantotal </t>
  </si>
  <si>
    <t>MF-05480</t>
  </si>
  <si>
    <t>MF-05400</t>
  </si>
  <si>
    <t>MF-05390</t>
  </si>
  <si>
    <t>MF-05380</t>
  </si>
  <si>
    <t>Fuente de origen de no clientes</t>
  </si>
  <si>
    <t>MF-05350</t>
  </si>
  <si>
    <t>Definicion de campos para apis</t>
  </si>
  <si>
    <t>Definicion de estados y situaciones de Tarjeta de débito</t>
  </si>
  <si>
    <t>MF-05340</t>
  </si>
  <si>
    <t>Mapeo de nuevos campos en APIs</t>
  </si>
  <si>
    <t>Integración ODS</t>
  </si>
  <si>
    <t>Fuente de origen de la Base de fraudes</t>
  </si>
  <si>
    <t>Fuente de origen para obtener la lista de países restringidos o prohibidos</t>
  </si>
  <si>
    <t>MF-04830</t>
  </si>
  <si>
    <t>MF-04560</t>
  </si>
  <si>
    <t>Reportes</t>
  </si>
  <si>
    <t>MF-04510</t>
  </si>
  <si>
    <t>MF-04495</t>
  </si>
  <si>
    <t>Se concluyó donde será el origen donde se extenderá la base de campañas. (DATA)</t>
  </si>
  <si>
    <t>Confirmar funcionalidades</t>
  </si>
  <si>
    <t>DMS</t>
  </si>
  <si>
    <t xml:space="preserve">Confirmacion de funcionalidades </t>
  </si>
  <si>
    <t>Front consulta Documentos</t>
  </si>
  <si>
    <t>Integración web documentos</t>
  </si>
  <si>
    <t>MF-04380</t>
  </si>
  <si>
    <t>Integración quejas y reclamos</t>
  </si>
  <si>
    <t>MF-04350</t>
  </si>
  <si>
    <t>MF-04260</t>
  </si>
  <si>
    <t>Mesa de concesiones</t>
  </si>
  <si>
    <t>MF-04230</t>
  </si>
  <si>
    <t>Dispositivo biometrico</t>
  </si>
  <si>
    <t>MF-04200</t>
  </si>
  <si>
    <t>Prosegur</t>
  </si>
  <si>
    <t>Link de ingreso a web PROSEGUR desde Space</t>
  </si>
  <si>
    <t>Enotria</t>
  </si>
  <si>
    <t>Link de ingreso a Web Enotria desde Space</t>
  </si>
  <si>
    <t>MF-04180</t>
  </si>
  <si>
    <t>MF-04160</t>
  </si>
  <si>
    <t>Integración web quejas y reclamos</t>
  </si>
  <si>
    <t>debe asignarse a un lugar</t>
  </si>
  <si>
    <t>MF-04110</t>
  </si>
  <si>
    <t>Integración web asistidos</t>
  </si>
  <si>
    <t>MF-04010</t>
  </si>
  <si>
    <t>Definicion de Historias PI3</t>
  </si>
  <si>
    <t>MF-03990</t>
  </si>
  <si>
    <t>Definicion de Historias PI2</t>
  </si>
  <si>
    <t>MF-03885</t>
  </si>
  <si>
    <t>MF-03880</t>
  </si>
  <si>
    <t>MF-03840</t>
  </si>
  <si>
    <t>MF-03790</t>
  </si>
  <si>
    <t>MF-03780</t>
  </si>
  <si>
    <t>MF-03770</t>
  </si>
  <si>
    <t>MF-03760</t>
  </si>
  <si>
    <t>MF-03750</t>
  </si>
  <si>
    <t>Archivo LST - Estrategia de cobranzas</t>
  </si>
  <si>
    <t>MF-03740</t>
  </si>
  <si>
    <t>Definición de tipos de campañas</t>
  </si>
  <si>
    <t>Se cuenta con los tipos de campañas</t>
  </si>
  <si>
    <t>MF-03730</t>
  </si>
  <si>
    <t>MF-03450</t>
  </si>
  <si>
    <t>MF-03440</t>
  </si>
  <si>
    <t>MF-03420</t>
  </si>
  <si>
    <t>MF-03410</t>
  </si>
  <si>
    <t>Definición de segmentos de cliente</t>
  </si>
  <si>
    <t>MF-03390</t>
  </si>
  <si>
    <t>MF-03380</t>
  </si>
  <si>
    <t>Se Probará en Junio con Simuladores en UAT</t>
  </si>
  <si>
    <t>MF-03330</t>
  </si>
  <si>
    <t>MF-03315</t>
  </si>
  <si>
    <t>Definición de herramienta a usar</t>
  </si>
  <si>
    <t>MF-03310</t>
  </si>
  <si>
    <t>MF-03305</t>
  </si>
  <si>
    <t>MF-03300</t>
  </si>
  <si>
    <t>MF-00180</t>
  </si>
  <si>
    <t>Habilitacion de telefonía CC</t>
  </si>
  <si>
    <t>Fila 237 (Generación de data para analítica)</t>
  </si>
  <si>
    <t>Fila 238 (Generación de data para analítica)</t>
  </si>
  <si>
    <t>P-95</t>
  </si>
  <si>
    <t>Data de prueba – Base de Datos RGTRABAJO</t>
  </si>
  <si>
    <t>IVR e inbound</t>
  </si>
  <si>
    <t>Habilitación de SIP TRUNK</t>
  </si>
  <si>
    <t>Ya se cuenta con la firma del contrato</t>
  </si>
  <si>
    <t>Habilitar registro de segmento de clientes</t>
  </si>
  <si>
    <t>Confirmar fecha de implementación por parte del equipo BT en relación al registro de segmentos de clientes</t>
  </si>
  <si>
    <t>Se confirmó que los segmentos se registranen BT</t>
  </si>
  <si>
    <t>Cuenta de Estado</t>
  </si>
  <si>
    <t>Plan de tranferencia</t>
  </si>
  <si>
    <t xml:space="preserve">Definición de archivos Core históricos  a migrar </t>
  </si>
  <si>
    <t>Se requiere confirmar: 
1) Desde que año se transferirá la información. 
2) Para cada uno de los años, si se transferirán archivos en formato mensual o anual
3) Si para el pase a producción, se debe de haber transferido algunos periodos de información, por temas regulatorios.</t>
  </si>
  <si>
    <t>Migración</t>
  </si>
  <si>
    <t>20/03/2026</t>
  </si>
  <si>
    <t xml:space="preserve">Definición de canal de transferencia de archivos Core históricos </t>
  </si>
  <si>
    <t>Se requiere confirmar si la transferencia se realizará a través del canal de transferencia definido para datos (Sterling), o por otro canal.</t>
  </si>
  <si>
    <t>30/04/2026</t>
  </si>
  <si>
    <t>Req datos</t>
  </si>
  <si>
    <t>Identificación de requerimientos de datos BanTotal - Cards</t>
  </si>
  <si>
    <t>Se requiere identificar la data necesaria para la operación de las aplicaciones en desarrollo, para el caso de tablas Bantotal u otras.</t>
  </si>
  <si>
    <t>31/03/2026</t>
  </si>
  <si>
    <t>Diagrama</t>
  </si>
  <si>
    <t>Canales Digitales</t>
  </si>
  <si>
    <t>Diagrama de Migración - Canales Digitales</t>
  </si>
  <si>
    <t>Se requiere contar con el diagrama que incluye el flujo de datos para la migración hacia las aplicaciones, indicando los componentes que intervienen en la migración.</t>
  </si>
  <si>
    <t>Definición de estrategia de migración de datos - Canales Digitales</t>
  </si>
  <si>
    <t>Se requiere establecer la estrategia de migración de datos para las aplicaciones.</t>
  </si>
  <si>
    <t>Cyber &amp; Fraud</t>
  </si>
  <si>
    <t>Identificación de requerimientos de datos BanTotal - Cyber &amp; Fraud</t>
  </si>
  <si>
    <t>Se requiere identificar la data necesaria para la operación de las aplicaciones, para el caso de tablas Bantotal u otras.</t>
  </si>
  <si>
    <t>Cesar V.</t>
  </si>
  <si>
    <t>Identificación de requerimientos de datos BanTotal - Cyberfinancial</t>
  </si>
  <si>
    <t>Se requiere identificar la data necesaria para la operación de las aplicaciones en desarrollo, en caso de requerirse tablas Bantotal u otras.
Confirmar las tablas que necesitarán.</t>
  </si>
  <si>
    <t>Confirmación de BD analíticas y file servers de usuarios - Inteligencia Comercial</t>
  </si>
  <si>
    <t>Se requiere validar el listado general de bases de datos y file servers que está en el compartido</t>
  </si>
  <si>
    <t>15/04/2026</t>
  </si>
  <si>
    <t>Confirmación de BD analíticas y file servers de usuarios - Riesgos y otros</t>
  </si>
  <si>
    <t>Confirmación de BD analíticas y file servers de usuarios - Finanzas</t>
  </si>
  <si>
    <t>Identificación de requerimientos de datos Bantotal - Aplicaciones de Soporte</t>
  </si>
  <si>
    <t>Se requiere identificar la data necesaria para la operación de las aplicaciones en desarrollo, en caso de requerirse tablas Bantotal u otras.</t>
  </si>
  <si>
    <t>Definición de estrategia de migración de datos Online- Core</t>
  </si>
  <si>
    <t>Se requiere establecer la estrategia de migración de los archivos txt Online en estructura de paquetes:
1. Paquete 1 contiene las tablas : ...
2. Se considera en los paquetes tabals que otras aplicaciones van a rerquerir? seguros, cards, aml, cyber, etc.</t>
  </si>
  <si>
    <t>28/02/2026</t>
  </si>
  <si>
    <t>Revisión de tablas principales y campos sumatorios para validación</t>
  </si>
  <si>
    <t>Validar el listado de tablas principales para las aplicaciones AS400, así como proponer los campos sumatorios para validación.</t>
  </si>
  <si>
    <t>Diagrama de Migración - Core</t>
  </si>
  <si>
    <t>Se requiere elaborar el diagrama de migración, indicando el flujo de la data, para el caso Online e histórico.</t>
  </si>
  <si>
    <t>Diagrama de Migración - Canales Asistidos</t>
  </si>
  <si>
    <t>Se requiere actualizar el diagrama que incluye el flujo de datos para la migración hacia las aplicaciones, indicando los servidores al que se transferirá la data. Mesa de Concesiones</t>
  </si>
  <si>
    <t>Estrategia de migración de datos - Cyberfinancial</t>
  </si>
  <si>
    <t>Diagrama de Migración - Procesos</t>
  </si>
  <si>
    <t>Se requiere actualizar el diagrama que incluye el flujo de datos para la migración hacia las aplicaciones, indicando los servidores al que se transferirá la data.</t>
  </si>
  <si>
    <t>Definición de estrategia de migración de datos - Procesos</t>
  </si>
  <si>
    <t>Diagrama de Migración - Cards</t>
  </si>
  <si>
    <t>Definición de estrategia de migración de archivos OnDemand</t>
  </si>
  <si>
    <t>Se requiere establecer la estrategia de migración para los archivos.</t>
  </si>
  <si>
    <t>Diagrama de Migración - Aplicaciones de soporte</t>
  </si>
  <si>
    <t>Se requiere contar con el diagrama que incluye el flujo de datos para la migración hacia las aplicaciones, indicando los servidores al que se transferirá la data.</t>
  </si>
  <si>
    <t>Definición de estrategia de migración de datos - Aplicaciones de soporte</t>
  </si>
  <si>
    <t>Identificación de requerimientos de datos BanTotal - SSM (Seguros)</t>
  </si>
  <si>
    <t>Se requiere identificar la data necesaria para la operación de las aplicaciones en desarrollo, en caso de requerirse tablas Bantotal u otras.
Solicitado a Luis Huaman por correo.</t>
  </si>
  <si>
    <t>Diagrama de Migración -  SSM (Seguros)</t>
  </si>
  <si>
    <t>Definición de estrategia de migración de datos -  SSM (Seguros)</t>
  </si>
  <si>
    <t>Identificación de tablas prioritarias - Inteligencia Comercial</t>
  </si>
  <si>
    <t>Se requiere llenar el formato incluyendo las tablas que forman parte del proceso</t>
  </si>
  <si>
    <t>Identificación de requerimientos de datos BanTotal - Canales Digitales</t>
  </si>
  <si>
    <t>Se requiere identificar la data necesaria para la operación de las aplicaciones en desarrollo, en caso de requerirse tablas Bantotal u otras.
Soliciatado a Arnold por correo</t>
  </si>
  <si>
    <t>Diagrama de Migración  - Cyber &amp; Fraud</t>
  </si>
  <si>
    <t>Se requiere identificar si como parte de la data necesaria para la operación de las aplicaciones, se requieren tablas Bantotal u otras desde el SBP.</t>
  </si>
  <si>
    <t>31/04/2026</t>
  </si>
  <si>
    <t>Identificación de tablas prioritarias - Riesgos</t>
  </si>
  <si>
    <t>Identificación de tablas prioritarias - Finanzas</t>
  </si>
  <si>
    <t>Definición de estrategia de migración de datos - Reportes de interoperabilidad históricos</t>
  </si>
  <si>
    <t>Se requiere establecer la estrategia de migración de los archivos históricos.</t>
  </si>
  <si>
    <t>Estrategia de Migración - Archivos de audio IVR</t>
  </si>
  <si>
    <t>Identificación de requerimientos de datos BanTotal - Procesos</t>
  </si>
  <si>
    <t>Cascada</t>
  </si>
  <si>
    <t>Ejecución OT Bantotal PI1</t>
  </si>
  <si>
    <t>SC1274 - Integraciones ODS - Servicios de Contact Points: campos adicionales</t>
  </si>
  <si>
    <t>Carol Carbajal</t>
  </si>
  <si>
    <t>SC1301 - Integraciones - Agregar CCI a Servicio de CuentasAsociadas a Tarjeta de Débito</t>
  </si>
  <si>
    <t>SC1328 - Fusionar servicios de obtener datos del usuario y obtener detalle de sucursal</t>
  </si>
  <si>
    <t>SC1311 - Integraciones - Formato del Campo idOperacionfmt</t>
  </si>
  <si>
    <t>SC1331 - BT SCTarjetaDebito.ObtenerTarjetasDebitoPorCliente, devolver las tarjetas adicionales</t>
  </si>
  <si>
    <t>SC1354 - Modificar estado de cuenta: mostrar movimientos anulados y marca de cual anulado y cual no</t>
  </si>
  <si>
    <t>Ejecución OT Bantotal PI2</t>
  </si>
  <si>
    <t>SC1354 - Modificar API BTDepositosAPlazo.ObtenerDatos</t>
  </si>
  <si>
    <t>SC1354 - D1-078 Nueva API copia del servicio BTPrestamos.ObtenerDetalle, el 13/03 se entrega mockups</t>
  </si>
  <si>
    <t>SC1354 - D1-169  Nueva API para devolver datos del producto, el 13/03 se entrega mockups</t>
  </si>
  <si>
    <t>SC1354 - D1-081 Nueva API  copia del servicio BTPrestamos.ObtenerCronograma, el 13/03 se entrega mockups</t>
  </si>
  <si>
    <t>SC1357 - Ajustes al servicio de  Puntos de contacto para agregarle campos</t>
  </si>
  <si>
    <t>Definición PI3 Canales Digitales</t>
  </si>
  <si>
    <t>Se necesita el mapeo de funcionalidades con endpoints de APIs globales para canales digitales Onboarding</t>
  </si>
  <si>
    <t>Henry</t>
  </si>
  <si>
    <t>Se necesita el mapeo de funcionalidades con endpoints de APIs globales para canales digitales Sin contracting</t>
  </si>
  <si>
    <t>Se necesita el mapeo de funcionalidades con endpoints de APIs globales para canales digitales Contracting</t>
  </si>
  <si>
    <t>Canal Asistido</t>
  </si>
  <si>
    <t>Definición PI3 Canales Asistidos</t>
  </si>
  <si>
    <t>Se necesita el mapeo de funcionalidades con endpoints de APIs globales para canales asistidos</t>
  </si>
  <si>
    <t>Sonia</t>
  </si>
  <si>
    <t>Data-Finanzas</t>
  </si>
  <si>
    <t>Catálogo de Dominio</t>
  </si>
  <si>
    <t>Maestro de equivalencias funcionales de los archivos administrativos proveídos por Izipay</t>
  </si>
  <si>
    <t>Disponibilización de Data en Datalake</t>
  </si>
  <si>
    <t>Se ejecuta proceso que envia todos los archivos adminstrativos desde SFTP de taerjetas hacia el Datalake (S3)</t>
  </si>
  <si>
    <t>Consultas técnicas MCP</t>
  </si>
  <si>
    <t>Se consultará el mapeo entre los archivos administrativos y Tablas MCP</t>
  </si>
  <si>
    <t> </t>
  </si>
  <si>
    <t>Datos de Sistema de Originación</t>
  </si>
  <si>
    <t>Brindar trama layout de datos y maestro de equivalencias funcionales</t>
  </si>
  <si>
    <t>Datos de log de subcuentas</t>
  </si>
  <si>
    <t>Brindar ejemplo de registro de tabla log de apertura de subcuentas de ahorro</t>
  </si>
  <si>
    <t>Datos de seguro de préstamos</t>
  </si>
  <si>
    <t>Brindar ejemplo de flujo de seguros obligatorios pagos en mas de una cuota</t>
  </si>
  <si>
    <t>Data-Riesgos</t>
  </si>
  <si>
    <t>Datos de Tarjetas  de credito , dias de mora  y transacciones .</t>
  </si>
  <si>
    <t>Se requiere inforamcion de saldos . tartjetas dias de mora para recontrutir las tablas del MCP001 , MCP002 , MCP003 , MCP004 , MCP005</t>
  </si>
  <si>
    <t>Data-I.C.</t>
  </si>
  <si>
    <t>Modelo de datos del flujo completo de la venta</t>
  </si>
  <si>
    <t>Se requiere información de los modelos de datos de solicitudes para la venta del módulo de teller.</t>
  </si>
  <si>
    <t>Data-I.comercial</t>
  </si>
  <si>
    <t>Flujo to be del proceso de Bases Negativas</t>
  </si>
  <si>
    <t>Se requiere entender con el equipo de Core cual  sera el nuevo flujo de bases negaivas ya que el usuario responsable depende de ese proceso</t>
  </si>
  <si>
    <t>Información de seguros optativos</t>
  </si>
  <si>
    <t>Brindar información de seguros optativos con la información 
de las primas pagas asi como las tablas de configuracion.</t>
  </si>
  <si>
    <t>Información de castigados</t>
  </si>
  <si>
    <t xml:space="preserve">Brindar la información necesaria para almacenar el nuevo 
universo de castigados, con el fin de reemplazar tabla de trabajo 
LD0D12. </t>
  </si>
  <si>
    <t>Información de refinanciados</t>
  </si>
  <si>
    <t>Brindar la información necesaria para almacenar el nuevo 
universo de castigados, con el fin de reemplazar tabla de trabajo 
LRFD02.</t>
  </si>
  <si>
    <t>Corporativo</t>
  </si>
  <si>
    <t>Status de Ingesta CRM y Habilitación de Athena</t>
  </si>
  <si>
    <t>Ingesta del CRM Dynamics
Habilitación de Athena</t>
  </si>
  <si>
    <t>digital</t>
  </si>
  <si>
    <t>integra</t>
  </si>
  <si>
    <t>aplicaciones</t>
  </si>
  <si>
    <t>(en blanco)</t>
  </si>
  <si>
    <t>asistidos</t>
  </si>
  <si>
    <t>data</t>
  </si>
  <si>
    <t>MIGR</t>
  </si>
  <si>
    <t>Identificadas</t>
  </si>
  <si>
    <t>ITEM</t>
  </si>
  <si>
    <t>OK</t>
  </si>
  <si>
    <t>Dashboard consolidado de dependencias</t>
  </si>
  <si>
    <t>TD</t>
  </si>
  <si>
    <t>Martes</t>
  </si>
  <si>
    <t>Próximo Jueves -&gt; chevere</t>
  </si>
  <si>
    <t>Tipo</t>
  </si>
  <si>
    <t>Resuelta</t>
  </si>
  <si>
    <t>Vendors</t>
  </si>
  <si>
    <t>S</t>
  </si>
  <si>
    <t xml:space="preserve">  VENCIMIENTO 30_04</t>
  </si>
  <si>
    <t>Core banking</t>
  </si>
  <si>
    <t>DEMANDANTE</t>
  </si>
  <si>
    <t>DEUDOR</t>
  </si>
  <si>
    <t xml:space="preserve">Cards </t>
  </si>
  <si>
    <t>PROVEEDOR</t>
  </si>
  <si>
    <t xml:space="preserve">Canal Asistido </t>
  </si>
  <si>
    <t>SOLICITANTE</t>
  </si>
  <si>
    <t>COMBO POR PROVEEDORES</t>
  </si>
  <si>
    <t xml:space="preserve">Aplicaciones Soporte </t>
  </si>
  <si>
    <t>TABLA DEMANDA Y OFERTA</t>
  </si>
  <si>
    <t>SOLO ABIERTAS</t>
  </si>
  <si>
    <t xml:space="preserve">Data </t>
  </si>
  <si>
    <t>ESTADOS</t>
  </si>
  <si>
    <t>CRITICIDAD</t>
  </si>
  <si>
    <t>5.Finalizado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</si>
</sst>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
    <numFmt numFmtId="165" formatCode="dd/mm/yyyy;@"/>
  </numFmts>
  <fonts count="23">
    <font>
      <sz val="11"/>
      <color theme="1"/>
      <name val="Aptos Narrow"/>
      <family val="2"/>
      <scheme val="minor"/>
    </font>
    <font>
      <sz val="10"/>
      <color theme="1"/>
      <name val="Aptos Narrow"/>
      <family val="2"/>
      <scheme val="minor"/>
    </font>
    <font>
      <b/>
      <sz val="9"/>
      <color theme="1"/>
      <name val="Aptos Narrow"/>
      <family val="2"/>
      <scheme val="minor"/>
    </font>
    <font>
      <b/>
      <sz val="9"/>
      <color theme="0"/>
      <name val="Aptos Narrow"/>
      <family val="2"/>
      <scheme val="minor"/>
    </font>
    <font>
      <sz val="10"/>
      <color rgb="FF000000"/>
      <name val="Aptos Narrow"/>
      <family val="2"/>
    </font>
    <font>
      <b/>
      <sz val="10"/>
      <color rgb="FF000000"/>
      <name val="Aptos Narrow"/>
      <family val="2"/>
    </font>
    <font>
      <sz val="10"/>
      <color rgb="FF000000"/>
      <name val="Calibri"/>
      <family val="2"/>
    </font>
    <font>
      <sz val="10"/>
      <color rgb="FF000000"/>
      <name val="Aptos Narrow"/>
      <family val="2"/>
      <scheme val="minor"/>
    </font>
    <font>
      <b/>
      <sz val="11"/>
      <color theme="1"/>
      <name val="Aptos Narrow"/>
      <family val="2"/>
      <scheme val="minor"/>
    </font>
    <font>
      <b/>
      <sz val="11"/>
      <color theme="0"/>
      <name val="Aptos Display"/>
      <family val="2"/>
    </font>
    <font>
      <sz val="11"/>
      <color rgb="FF000000"/>
      <name val="Aptos Display"/>
      <family val="2"/>
    </font>
    <font>
      <b/>
      <sz val="10"/>
      <color theme="1"/>
      <name val="Aptos Narrow"/>
      <family val="2"/>
      <scheme val="minor"/>
    </font>
    <font>
      <b/>
      <sz val="10"/>
      <color theme="0"/>
      <name val="Aptos Narrow"/>
      <family val="2"/>
      <scheme val="minor"/>
    </font>
    <font>
      <b/>
      <sz val="11"/>
      <color rgb="FFFFFFFF"/>
      <name val="Aptos Display"/>
      <family val="2"/>
    </font>
    <font>
      <sz val="8"/>
      <name val="Aptos Narrow"/>
      <family val="2"/>
      <scheme val="minor"/>
    </font>
    <font>
      <sz val="10"/>
      <name val="Aptos Narrow"/>
      <family val="2"/>
      <scheme val="minor"/>
    </font>
    <font>
      <sz val="10"/>
      <color rgb="FF111827"/>
      <name val="Calibri"/>
      <family val="2"/>
    </font>
    <font>
      <sz val="10"/>
      <name val="Calibri"/>
      <family val="2"/>
    </font>
    <font>
      <sz val="10"/>
      <color rgb="FFFF0000"/>
      <name val="Aptos Narrow"/>
      <family val="2"/>
      <scheme val="minor"/>
    </font>
    <font>
      <sz val="10"/>
      <color rgb="FFFF0000"/>
      <name val="Aptos Narrow"/>
      <family val="2"/>
    </font>
    <font>
      <sz val="11"/>
      <color rgb="FF000000"/>
      <name val="Aptos Narrow"/>
      <family val="2"/>
    </font>
    <font>
      <b/>
      <sz val="11"/>
      <color rgb="FFFFFFFF"/>
      <name val="Aptos Narrow"/>
      <family val="2"/>
    </font>
    <font>
      <sz val="11"/>
      <color theme="1"/>
      <name val="-Apple-System"/>
      <charset val="1"/>
    </font>
  </fonts>
  <fills count="13">
    <fill>
      <patternFill patternType="none"/>
    </fill>
    <fill>
      <patternFill patternType="gray125"/>
    </fill>
    <fill>
      <patternFill patternType="solid">
        <fgColor theme="8" tint="-0.499984740745262"/>
        <bgColor indexed="64"/>
      </patternFill>
    </fill>
    <fill>
      <patternFill patternType="solid">
        <fgColor theme="4"/>
        <bgColor theme="4"/>
      </patternFill>
    </fill>
    <fill>
      <patternFill patternType="solid">
        <fgColor theme="0"/>
        <bgColor indexed="64"/>
      </patternFill>
    </fill>
    <fill>
      <patternFill patternType="solid">
        <fgColor rgb="FF0070C0"/>
        <bgColor indexed="64"/>
      </patternFill>
    </fill>
    <fill>
      <patternFill patternType="solid">
        <fgColor rgb="FFFFFF00"/>
        <bgColor indexed="64"/>
      </patternFill>
    </fill>
    <fill>
      <patternFill patternType="solid">
        <fgColor rgb="FF0070C0"/>
        <bgColor rgb="FF000000"/>
      </patternFill>
    </fill>
    <fill>
      <patternFill patternType="solid">
        <fgColor theme="6" tint="0.79998168889431442"/>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074F69"/>
        <bgColor rgb="FF000000"/>
      </patternFill>
    </fill>
  </fills>
  <borders count="37">
    <border>
      <left/>
      <right/>
      <top/>
      <bottom/>
      <diagonal/>
    </border>
    <border>
      <left style="thin">
        <color theme="4"/>
      </left>
      <right/>
      <top style="thin">
        <color theme="4"/>
      </top>
      <bottom/>
      <diagonal/>
    </border>
    <border>
      <left style="thin">
        <color theme="4"/>
      </left>
      <right/>
      <top style="thin">
        <color theme="4"/>
      </top>
      <bottom style="thin">
        <color theme="4"/>
      </bottom>
      <diagonal/>
    </border>
    <border>
      <left/>
      <right/>
      <top style="thin">
        <color theme="4"/>
      </top>
      <bottom/>
      <diagonal/>
    </border>
    <border>
      <left/>
      <right/>
      <top style="thin">
        <color rgb="FF156082"/>
      </top>
      <bottom/>
      <diagonal/>
    </border>
    <border>
      <left/>
      <right style="thin">
        <color rgb="FF156082"/>
      </right>
      <top style="thin">
        <color rgb="FF156082"/>
      </top>
      <bottom/>
      <diagonal/>
    </border>
    <border>
      <left style="thin">
        <color theme="4"/>
      </left>
      <right/>
      <top style="thin">
        <color rgb="FF156082"/>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rgb="FF156082"/>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theme="4"/>
      </top>
      <bottom style="thin">
        <color theme="4"/>
      </bottom>
      <diagonal/>
    </border>
    <border>
      <left style="thin">
        <color theme="4"/>
      </left>
      <right style="thin">
        <color theme="4"/>
      </right>
      <top style="thin">
        <color theme="4"/>
      </top>
      <bottom style="thin">
        <color theme="4"/>
      </bottom>
      <diagonal/>
    </border>
    <border>
      <left style="thin">
        <color rgb="FF000000"/>
      </left>
      <right/>
      <top style="thin">
        <color rgb="FF000000"/>
      </top>
      <bottom style="thin">
        <color rgb="FF000000"/>
      </bottom>
      <diagonal/>
    </border>
    <border>
      <left style="thin">
        <color theme="4"/>
      </left>
      <right style="thin">
        <color theme="4"/>
      </right>
      <top style="thin">
        <color theme="4"/>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top style="thin">
        <color rgb="FF156082"/>
      </top>
      <bottom style="thin">
        <color theme="4"/>
      </bottom>
      <diagonal/>
    </border>
    <border>
      <left style="thin">
        <color rgb="FF000000"/>
      </left>
      <right style="thin">
        <color rgb="FF000000"/>
      </right>
      <top style="thin">
        <color rgb="FF000000"/>
      </top>
      <bottom style="thin">
        <color indexed="64"/>
      </bottom>
      <diagonal/>
    </border>
    <border>
      <left/>
      <right/>
      <top style="thin">
        <color theme="4"/>
      </top>
      <bottom style="thin">
        <color rgb="FF000000"/>
      </bottom>
      <diagonal/>
    </border>
    <border>
      <left/>
      <right/>
      <top style="thin">
        <color theme="9" tint="0.39997558519241921"/>
      </top>
      <bottom style="thin">
        <color theme="9" tint="0.39997558519241921"/>
      </bottom>
      <diagonal/>
    </border>
    <border>
      <left/>
      <right/>
      <top style="thin">
        <color theme="9" tint="0.39997558519241921"/>
      </top>
      <bottom/>
      <diagonal/>
    </border>
    <border>
      <left style="thin">
        <color rgb="FF000000"/>
      </left>
      <right style="thin">
        <color rgb="FF000000"/>
      </right>
      <top/>
      <bottom/>
      <diagonal/>
    </border>
    <border>
      <left/>
      <right style="thin">
        <color theme="4" tint="0.39997558519241921"/>
      </right>
      <top style="thin">
        <color theme="4" tint="0.39997558519241921"/>
      </top>
      <bottom style="thin">
        <color theme="4" tint="0.39997558519241921"/>
      </bottom>
      <diagonal/>
    </border>
    <border>
      <left/>
      <right style="thin">
        <color theme="4"/>
      </right>
      <top style="thin">
        <color theme="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style="thin">
        <color indexed="64"/>
      </top>
      <bottom style="thin">
        <color rgb="FF156082"/>
      </bottom>
      <diagonal/>
    </border>
    <border>
      <left/>
      <right style="thin">
        <color rgb="FF000000"/>
      </right>
      <top style="thin">
        <color rgb="FF000000"/>
      </top>
      <bottom style="thin">
        <color indexed="64"/>
      </bottom>
      <diagonal/>
    </border>
    <border>
      <left style="thin">
        <color rgb="FF000000"/>
      </left>
      <right/>
      <top style="thin">
        <color rgb="FF000000"/>
      </top>
      <bottom style="thin">
        <color indexed="64"/>
      </bottom>
      <diagonal/>
    </border>
    <border>
      <left/>
      <right style="thin">
        <color theme="4"/>
      </right>
      <top style="thin">
        <color theme="4"/>
      </top>
      <bottom style="thin">
        <color indexed="64"/>
      </bottom>
      <diagonal/>
    </border>
    <border>
      <left/>
      <right/>
      <top/>
      <bottom style="thin">
        <color indexed="64"/>
      </bottom>
      <diagonal/>
    </border>
  </borders>
  <cellStyleXfs count="1">
    <xf numFmtId="0" fontId="0" fillId="0" borderId="0"/>
  </cellStyleXfs>
  <cellXfs count="257">
    <xf numFmtId="0" fontId="0" fillId="0" borderId="0" xfId="0"/>
    <xf numFmtId="0" fontId="0" fillId="0" borderId="0" xfId="0" applyAlignment="1">
      <alignment horizontal="center"/>
    </xf>
    <xf numFmtId="0" fontId="1" fillId="0" borderId="0" xfId="0" applyFont="1" applyAlignment="1">
      <alignment horizontal="center"/>
    </xf>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0" fillId="0" borderId="0" xfId="0" applyAlignment="1">
      <alignment horizontal="center" vertical="center"/>
    </xf>
    <xf numFmtId="0" fontId="2" fillId="2" borderId="0" xfId="0" applyFont="1" applyFill="1" applyAlignment="1">
      <alignment horizontal="center" vertical="center"/>
    </xf>
    <xf numFmtId="14" fontId="0" fillId="0" borderId="0" xfId="0" applyNumberFormat="1" applyAlignment="1">
      <alignment horizontal="center"/>
    </xf>
    <xf numFmtId="14" fontId="2" fillId="0" borderId="0" xfId="0" applyNumberFormat="1" applyFont="1" applyAlignment="1">
      <alignment horizontal="center" vertical="center"/>
    </xf>
    <xf numFmtId="0" fontId="3" fillId="3" borderId="1" xfId="0" applyFont="1" applyFill="1" applyBorder="1" applyAlignment="1">
      <alignment vertical="center"/>
    </xf>
    <xf numFmtId="0" fontId="1" fillId="0" borderId="1" xfId="0" applyFont="1" applyBorder="1" applyAlignment="1">
      <alignment horizontal="center"/>
    </xf>
    <xf numFmtId="0" fontId="1" fillId="0" borderId="2" xfId="0" applyFont="1" applyBorder="1" applyAlignment="1">
      <alignment horizontal="center"/>
    </xf>
    <xf numFmtId="0" fontId="1" fillId="0" borderId="0" xfId="0" applyFont="1" applyAlignment="1">
      <alignment horizontal="left"/>
    </xf>
    <xf numFmtId="14" fontId="1" fillId="0" borderId="0" xfId="0" applyNumberFormat="1" applyFont="1" applyAlignment="1">
      <alignment horizontal="left"/>
    </xf>
    <xf numFmtId="0" fontId="1" fillId="0" borderId="0" xfId="0" applyFont="1" applyAlignment="1">
      <alignment horizontal="left" vertical="center"/>
    </xf>
    <xf numFmtId="0" fontId="1" fillId="0" borderId="0" xfId="0" applyFont="1">
      <extLst>
        <ext xmlns:xfpb="http://schemas.microsoft.com/office/spreadsheetml/2022/featurepropertybag" uri="{C7286773-470A-42A8-94C5-96B5CB345126}">
          <xfpb:xfComplement i="0"/>
        </ext>
      </extLst>
    </xf>
    <xf numFmtId="0" fontId="1" fillId="0" borderId="3" xfId="0" applyFont="1" applyBorder="1" applyAlignment="1">
      <alignment horizontal="center"/>
    </xf>
    <xf numFmtId="0" fontId="1" fillId="0" borderId="3" xfId="0" applyFont="1" applyBorder="1" applyAlignment="1">
      <alignment horizontal="left"/>
    </xf>
    <xf numFmtId="14" fontId="1" fillId="0" borderId="3" xfId="0" applyNumberFormat="1" applyFont="1" applyBorder="1" applyAlignment="1">
      <alignment horizontal="left"/>
    </xf>
    <xf numFmtId="0" fontId="1" fillId="0" borderId="3" xfId="0" applyFont="1" applyBorder="1">
      <extLst>
        <ext xmlns:xfpb="http://schemas.microsoft.com/office/spreadsheetml/2022/featurepropertybag" uri="{C7286773-470A-42A8-94C5-96B5CB345126}">
          <xfpb:xfComplement i="0"/>
        </ext>
      </extLst>
    </xf>
    <xf numFmtId="0" fontId="1" fillId="0" borderId="3" xfId="0" applyFont="1" applyBorder="1" applyAlignment="1">
      <alignment horizontal="left" vertical="center"/>
    </xf>
    <xf numFmtId="0" fontId="3" fillId="3" borderId="0" xfId="0" applyFont="1" applyFill="1" applyAlignment="1">
      <alignment vertical="center"/>
    </xf>
    <xf numFmtId="0" fontId="3" fillId="3" borderId="0" xfId="0" applyFont="1" applyFill="1" applyAlignment="1">
      <alignment horizontal="center" vertical="center"/>
    </xf>
    <xf numFmtId="0" fontId="3" fillId="3" borderId="0" xfId="0" applyFont="1" applyFill="1" applyAlignment="1">
      <alignment horizontal="center" vertical="center" wrapText="1"/>
    </xf>
    <xf numFmtId="14" fontId="3" fillId="3" borderId="0" xfId="0" applyNumberFormat="1" applyFont="1" applyFill="1" applyAlignment="1">
      <alignment horizontal="center" vertical="center"/>
    </xf>
    <xf numFmtId="0" fontId="3" fillId="2" borderId="0" xfId="0" applyFont="1" applyFill="1" applyAlignment="1">
      <alignment horizontal="center" vertical="center"/>
    </xf>
    <xf numFmtId="0" fontId="4" fillId="0" borderId="0" xfId="0" applyFont="1" applyAlignment="1">
      <alignment horizontal="center"/>
    </xf>
    <xf numFmtId="0" fontId="1" fillId="0" borderId="0" xfId="0" applyFont="1"/>
    <xf numFmtId="0" fontId="0" fillId="0" borderId="0" xfId="0" applyAlignment="1">
      <alignment vertical="center"/>
    </xf>
    <xf numFmtId="0" fontId="1" fillId="0" borderId="11" xfId="0" applyFont="1" applyBorder="1" applyAlignment="1">
      <alignment horizontal="center"/>
    </xf>
    <xf numFmtId="0" fontId="1" fillId="0" borderId="11" xfId="0" applyFont="1" applyBorder="1" applyAlignment="1">
      <alignment horizontal="left"/>
    </xf>
    <xf numFmtId="14" fontId="1" fillId="0" borderId="11" xfId="0" applyNumberFormat="1" applyFont="1" applyBorder="1" applyAlignment="1">
      <alignment horizontal="left"/>
    </xf>
    <xf numFmtId="0" fontId="1" fillId="0" borderId="11" xfId="0" applyFont="1" applyBorder="1" applyAlignment="1">
      <alignment horizontal="left" vertical="center"/>
    </xf>
    <xf numFmtId="0" fontId="0" fillId="0" borderId="11" xfId="0" applyBorder="1" applyAlignment="1">
      <alignment horizontal="center"/>
    </xf>
    <xf numFmtId="0" fontId="1" fillId="0" borderId="12" xfId="0" applyFont="1" applyBorder="1" applyAlignment="1">
      <alignment horizontal="center"/>
    </xf>
    <xf numFmtId="0" fontId="1" fillId="4" borderId="0" xfId="0" applyFont="1" applyFill="1" applyAlignment="1">
      <alignment horizontal="left"/>
    </xf>
    <xf numFmtId="0" fontId="1" fillId="0" borderId="14" xfId="0" applyFont="1" applyBorder="1" applyAlignment="1">
      <alignment horizontal="left"/>
    </xf>
    <xf numFmtId="0" fontId="1" fillId="0" borderId="14" xfId="0" applyFont="1" applyBorder="1">
      <extLst>
        <ext xmlns:xfpb="http://schemas.microsoft.com/office/spreadsheetml/2022/featurepropertybag" uri="{C7286773-470A-42A8-94C5-96B5CB345126}">
          <xfpb:xfComplement i="0"/>
        </ext>
      </extLst>
    </xf>
    <xf numFmtId="0" fontId="1" fillId="0" borderId="14" xfId="0" applyFont="1" applyBorder="1" applyAlignment="1">
      <alignment horizontal="left" vertical="center"/>
    </xf>
    <xf numFmtId="0" fontId="0" fillId="0" borderId="0" xfId="0" applyAlignment="1" applyProtection="1">
      <alignment horizontal="left"/>
      <protection locked="0"/>
    </xf>
    <xf numFmtId="0" fontId="0" fillId="0" borderId="0" xfId="0" applyProtection="1">
      <protection locked="0"/>
    </xf>
    <xf numFmtId="0" fontId="0" fillId="0" borderId="0" xfId="0" applyAlignment="1" applyProtection="1">
      <alignment horizontal="center"/>
      <protection locked="0"/>
    </xf>
    <xf numFmtId="14" fontId="0" fillId="0" borderId="0" xfId="0" applyNumberFormat="1" applyAlignment="1" applyProtection="1">
      <alignment horizontal="center"/>
      <protection locked="0"/>
    </xf>
    <xf numFmtId="0" fontId="3" fillId="3" borderId="1" xfId="0" applyFont="1" applyFill="1" applyBorder="1" applyAlignment="1" applyProtection="1">
      <alignment horizontal="left" vertical="center"/>
      <protection locked="0"/>
    </xf>
    <xf numFmtId="0" fontId="2" fillId="0" borderId="0" xfId="0" applyFont="1" applyAlignment="1" applyProtection="1">
      <alignment vertical="center"/>
      <protection locked="0"/>
    </xf>
    <xf numFmtId="0" fontId="2" fillId="0" borderId="0" xfId="0" applyFont="1" applyAlignment="1" applyProtection="1">
      <alignment horizontal="center" vertical="center"/>
      <protection locked="0"/>
    </xf>
    <xf numFmtId="0" fontId="2" fillId="0" borderId="0" xfId="0" applyFont="1" applyAlignment="1" applyProtection="1">
      <alignment horizontal="center" vertical="center" wrapText="1"/>
      <protection locked="0"/>
    </xf>
    <xf numFmtId="0" fontId="2" fillId="2" borderId="0" xfId="0" applyFont="1" applyFill="1" applyAlignment="1" applyProtection="1">
      <alignment horizontal="center" vertical="center"/>
      <protection locked="0"/>
    </xf>
    <xf numFmtId="0" fontId="1" fillId="0" borderId="1" xfId="0" applyFont="1" applyBorder="1" applyAlignment="1" applyProtection="1">
      <alignment horizontal="left"/>
      <protection locked="0"/>
    </xf>
    <xf numFmtId="0" fontId="1" fillId="0" borderId="4" xfId="0" applyFont="1" applyBorder="1" applyAlignment="1" applyProtection="1">
      <alignment horizontal="center"/>
      <protection locked="0"/>
    </xf>
    <xf numFmtId="0" fontId="1" fillId="0" borderId="4" xfId="0" applyFont="1" applyBorder="1" applyAlignment="1" applyProtection="1">
      <alignment horizontal="left"/>
      <protection locked="0"/>
    </xf>
    <xf numFmtId="14" fontId="1" fillId="0" borderId="0" xfId="0" applyNumberFormat="1" applyFont="1" applyAlignment="1" applyProtection="1">
      <alignment horizontal="left"/>
      <protection locked="0"/>
    </xf>
    <xf numFmtId="0" fontId="1" fillId="0" borderId="0" xfId="0" applyFont="1" applyAlignment="1" applyProtection="1">
      <alignment horizontal="left"/>
      <protection locked="0"/>
    </xf>
    <xf numFmtId="0" fontId="4" fillId="0" borderId="4" xfId="0" applyFont="1" applyBorder="1" applyProtection="1">
      <protection locked="0"/>
    </xf>
    <xf numFmtId="0" fontId="4" fillId="0" borderId="5" xfId="0" applyFont="1" applyBorder="1" applyProtection="1">
      <protection locked="0"/>
    </xf>
    <xf numFmtId="0" fontId="1" fillId="0" borderId="0" xfId="0" applyFont="1" applyAlignment="1" applyProtection="1">
      <alignment horizontal="center"/>
      <protection locked="0"/>
    </xf>
    <xf numFmtId="0" fontId="1" fillId="0" borderId="6" xfId="0" applyFont="1" applyBorder="1" applyAlignment="1" applyProtection="1">
      <alignment horizontal="left"/>
      <protection locked="0"/>
    </xf>
    <xf numFmtId="0" fontId="1" fillId="0" borderId="11" xfId="0" applyFont="1" applyBorder="1" applyAlignment="1">
      <alignment vertical="center"/>
      <extLst>
        <ext xmlns:xfpb="http://schemas.microsoft.com/office/spreadsheetml/2022/featurepropertybag" uri="{C7286773-470A-42A8-94C5-96B5CB345126}">
          <xfpb:xfComplement i="0"/>
        </ext>
      </extLst>
    </xf>
    <xf numFmtId="0" fontId="1" fillId="0" borderId="16" xfId="0" applyFont="1" applyBorder="1" applyAlignment="1">
      <alignment horizontal="left"/>
    </xf>
    <xf numFmtId="0" fontId="1" fillId="0" borderId="16" xfId="0" applyFont="1" applyBorder="1">
      <extLst>
        <ext xmlns:xfpb="http://schemas.microsoft.com/office/spreadsheetml/2022/featurepropertybag" uri="{C7286773-470A-42A8-94C5-96B5CB345126}">
          <xfpb:xfComplement i="0"/>
        </ext>
      </extLst>
    </xf>
    <xf numFmtId="14" fontId="0" fillId="0" borderId="0" xfId="0" applyNumberFormat="1" applyAlignment="1">
      <alignment horizontal="left" vertical="center"/>
    </xf>
    <xf numFmtId="0" fontId="1" fillId="0" borderId="13" xfId="0" applyFont="1" applyBorder="1" applyAlignment="1">
      <alignment horizontal="left" vertical="center"/>
    </xf>
    <xf numFmtId="0" fontId="1" fillId="0" borderId="0" xfId="0" applyFont="1" applyAlignment="1">
      <alignment horizontal="left" wrapText="1"/>
    </xf>
    <xf numFmtId="0" fontId="1" fillId="0" borderId="11" xfId="0" applyFont="1" applyBorder="1" applyAlignment="1">
      <alignment horizontal="left" wrapText="1"/>
    </xf>
    <xf numFmtId="0" fontId="8" fillId="0" borderId="0" xfId="0" applyFont="1"/>
    <xf numFmtId="0" fontId="0" fillId="0" borderId="0" xfId="0" applyAlignment="1">
      <alignment horizontal="left" vertical="center" wrapText="1"/>
    </xf>
    <xf numFmtId="0" fontId="9" fillId="5" borderId="0" xfId="0" applyFont="1" applyFill="1" applyAlignment="1">
      <alignment horizontal="center" vertical="center"/>
    </xf>
    <xf numFmtId="0" fontId="1" fillId="0" borderId="17" xfId="0" applyFont="1" applyBorder="1" applyAlignment="1">
      <alignment horizontal="left" wrapText="1"/>
    </xf>
    <xf numFmtId="0" fontId="1" fillId="0" borderId="11" xfId="0" applyFont="1" applyBorder="1" applyAlignment="1">
      <alignment horizontal="center" vertical="center" wrapText="1"/>
    </xf>
    <xf numFmtId="0" fontId="1" fillId="0" borderId="11" xfId="0" applyFont="1" applyBorder="1" applyAlignment="1">
      <alignment horizontal="center" vertical="center"/>
    </xf>
    <xf numFmtId="0" fontId="0" fillId="0" borderId="0" xfId="0" applyAlignment="1">
      <alignment horizontal="left"/>
    </xf>
    <xf numFmtId="0" fontId="1" fillId="0" borderId="15" xfId="0" applyFont="1" applyBorder="1" applyAlignment="1">
      <alignment horizontal="left"/>
    </xf>
    <xf numFmtId="0" fontId="0" fillId="0" borderId="0" xfId="0" pivotButton="1"/>
    <xf numFmtId="14" fontId="0" fillId="0" borderId="0" xfId="0" applyNumberFormat="1"/>
    <xf numFmtId="0" fontId="0" fillId="0" borderId="0" xfId="0" applyAlignment="1">
      <alignment wrapText="1"/>
    </xf>
    <xf numFmtId="0" fontId="1" fillId="0" borderId="18" xfId="0" applyFont="1" applyBorder="1" applyAlignment="1">
      <alignment horizontal="center"/>
    </xf>
    <xf numFmtId="0" fontId="1" fillId="0" borderId="17" xfId="0" applyFont="1" applyBorder="1" applyAlignment="1">
      <alignment horizontal="center" vertical="center"/>
    </xf>
    <xf numFmtId="0" fontId="1" fillId="0" borderId="17" xfId="0" applyFont="1" applyBorder="1" applyAlignment="1">
      <alignment horizontal="left"/>
    </xf>
    <xf numFmtId="14" fontId="1" fillId="0" borderId="17" xfId="0" applyNumberFormat="1" applyFont="1" applyBorder="1" applyAlignment="1">
      <alignment horizontal="left"/>
    </xf>
    <xf numFmtId="0" fontId="1" fillId="0" borderId="17" xfId="0" applyFont="1" applyBorder="1" applyAlignment="1">
      <alignment horizontal="left" vertical="center"/>
    </xf>
    <xf numFmtId="0" fontId="1" fillId="0" borderId="19" xfId="0" applyFont="1" applyBorder="1" applyAlignment="1">
      <alignment horizontal="left"/>
    </xf>
    <xf numFmtId="0" fontId="1" fillId="4" borderId="11" xfId="0" applyFont="1" applyFill="1" applyBorder="1" applyAlignment="1">
      <alignment horizontal="center" vertical="center"/>
    </xf>
    <xf numFmtId="0" fontId="7" fillId="4" borderId="11" xfId="0" applyFont="1" applyFill="1" applyBorder="1" applyAlignment="1">
      <alignment horizontal="left" wrapText="1"/>
    </xf>
    <xf numFmtId="0" fontId="1" fillId="4" borderId="11" xfId="0" applyFont="1" applyFill="1" applyBorder="1" applyAlignment="1">
      <alignment horizontal="left"/>
    </xf>
    <xf numFmtId="0" fontId="1" fillId="4" borderId="11" xfId="0" applyFont="1" applyFill="1" applyBorder="1" applyAlignment="1">
      <alignment horizontal="left" wrapText="1"/>
    </xf>
    <xf numFmtId="14" fontId="1" fillId="4" borderId="11" xfId="0" applyNumberFormat="1" applyFont="1" applyFill="1" applyBorder="1" applyAlignment="1">
      <alignment horizontal="left"/>
    </xf>
    <xf numFmtId="0" fontId="0" fillId="4" borderId="11" xfId="0" applyFill="1" applyBorder="1" applyAlignment="1">
      <alignment horizontal="center"/>
    </xf>
    <xf numFmtId="0" fontId="1" fillId="4" borderId="11" xfId="0" applyFont="1" applyFill="1" applyBorder="1" applyAlignment="1">
      <alignment vertical="center"/>
      <extLst>
        <ext xmlns:xfpb="http://schemas.microsoft.com/office/spreadsheetml/2022/featurepropertybag" uri="{C7286773-470A-42A8-94C5-96B5CB345126}">
          <xfpb:xfComplement i="0"/>
        </ext>
      </extLst>
    </xf>
    <xf numFmtId="0" fontId="1" fillId="4" borderId="11" xfId="0" applyFont="1" applyFill="1" applyBorder="1" applyAlignment="1">
      <alignment horizontal="left" vertical="center"/>
    </xf>
    <xf numFmtId="0" fontId="0" fillId="4" borderId="0" xfId="0" applyFill="1"/>
    <xf numFmtId="0" fontId="1" fillId="4" borderId="11" xfId="0" applyFont="1" applyFill="1" applyBorder="1" applyAlignment="1">
      <alignment horizontal="center"/>
    </xf>
    <xf numFmtId="0" fontId="1" fillId="4" borderId="12" xfId="0" applyFont="1" applyFill="1" applyBorder="1" applyAlignment="1">
      <alignment horizontal="center"/>
    </xf>
    <xf numFmtId="0" fontId="1" fillId="0" borderId="0" xfId="0" applyFont="1" applyAlignment="1">
      <alignment horizontal="left" vertical="center" wrapText="1"/>
    </xf>
    <xf numFmtId="14" fontId="1" fillId="0" borderId="0" xfId="0" applyNumberFormat="1" applyFont="1" applyAlignment="1">
      <alignment horizontal="left" wrapText="1"/>
    </xf>
    <xf numFmtId="0" fontId="11" fillId="0" borderId="0" xfId="0" applyFont="1" applyAlignment="1">
      <alignment horizontal="left" wrapText="1"/>
    </xf>
    <xf numFmtId="14" fontId="1" fillId="0" borderId="0" xfId="0" applyNumberFormat="1" applyFont="1" applyAlignment="1">
      <alignment horizontal="left" vertical="center" wrapText="1"/>
    </xf>
    <xf numFmtId="0" fontId="12" fillId="3" borderId="0" xfId="0" applyFont="1" applyFill="1" applyAlignment="1">
      <alignment horizontal="left" vertical="center" wrapText="1"/>
    </xf>
    <xf numFmtId="0" fontId="11" fillId="0" borderId="0" xfId="0" applyFont="1" applyAlignment="1">
      <alignment horizontal="left" vertical="center" wrapText="1"/>
    </xf>
    <xf numFmtId="14" fontId="11" fillId="0" borderId="0" xfId="0" applyNumberFormat="1" applyFont="1" applyAlignment="1">
      <alignment horizontal="left" vertical="center" wrapText="1"/>
    </xf>
    <xf numFmtId="0" fontId="11" fillId="2" borderId="0" xfId="0" applyFont="1" applyFill="1" applyAlignment="1">
      <alignment horizontal="left" vertical="center" wrapText="1"/>
    </xf>
    <xf numFmtId="0" fontId="4" fillId="0" borderId="0" xfId="0" applyFont="1" applyAlignment="1">
      <alignment horizontal="left" vertical="center" wrapText="1"/>
    </xf>
    <xf numFmtId="0" fontId="1" fillId="0" borderId="0" xfId="0" applyFont="1" applyAlignment="1">
      <alignment horizontal="left" vertical="center" wrapText="1"/>
      <extLst>
        <ext xmlns:xfpb="http://schemas.microsoft.com/office/spreadsheetml/2022/featurepropertybag" uri="{C7286773-470A-42A8-94C5-96B5CB345126}">
          <xfpb:xfComplement i="0"/>
        </ext>
      </extLst>
    </xf>
    <xf numFmtId="0" fontId="9" fillId="5" borderId="0" xfId="0" applyFont="1" applyFill="1" applyAlignment="1">
      <alignment vertical="center"/>
    </xf>
    <xf numFmtId="0" fontId="10" fillId="4" borderId="11" xfId="0" applyFont="1" applyFill="1" applyBorder="1" applyAlignment="1">
      <alignment horizontal="left" vertical="center"/>
    </xf>
    <xf numFmtId="0" fontId="10" fillId="4" borderId="11" xfId="0" applyFont="1" applyFill="1" applyBorder="1" applyAlignment="1">
      <alignment horizontal="center" vertical="center"/>
    </xf>
    <xf numFmtId="0" fontId="10" fillId="4" borderId="11" xfId="0" applyFont="1" applyFill="1" applyBorder="1" applyAlignment="1">
      <alignment vertical="center"/>
    </xf>
    <xf numFmtId="0" fontId="10" fillId="4" borderId="11" xfId="0" applyFont="1" applyFill="1" applyBorder="1" applyAlignment="1">
      <alignment horizontal="left" vertical="center" wrapText="1"/>
    </xf>
    <xf numFmtId="0" fontId="0" fillId="0" borderId="11" xfId="0" applyBorder="1"/>
    <xf numFmtId="0" fontId="10" fillId="4" borderId="11" xfId="0" applyFont="1" applyFill="1" applyBorder="1" applyAlignment="1">
      <alignment vertical="center" wrapText="1"/>
    </xf>
    <xf numFmtId="0" fontId="1" fillId="6" borderId="11" xfId="0" applyFont="1" applyFill="1" applyBorder="1" applyAlignment="1">
      <alignment horizontal="center" vertical="center"/>
    </xf>
    <xf numFmtId="0" fontId="13" fillId="7" borderId="7" xfId="0" applyFont="1" applyFill="1" applyBorder="1"/>
    <xf numFmtId="0" fontId="13" fillId="7" borderId="20" xfId="0" applyFont="1" applyFill="1" applyBorder="1"/>
    <xf numFmtId="0" fontId="10" fillId="0" borderId="10" xfId="0" applyFont="1" applyBorder="1"/>
    <xf numFmtId="0" fontId="10" fillId="0" borderId="21" xfId="0" applyFont="1" applyBorder="1"/>
    <xf numFmtId="0" fontId="1" fillId="0" borderId="13" xfId="0" applyFont="1" applyBorder="1" applyAlignment="1">
      <alignment horizontal="left"/>
    </xf>
    <xf numFmtId="0" fontId="1" fillId="0" borderId="1" xfId="0" applyFont="1" applyBorder="1" applyAlignment="1">
      <alignment horizontal="left"/>
    </xf>
    <xf numFmtId="0" fontId="1" fillId="0" borderId="4" xfId="0" applyFont="1" applyBorder="1" applyAlignment="1">
      <alignment horizontal="center"/>
    </xf>
    <xf numFmtId="0" fontId="1" fillId="0" borderId="22" xfId="0" applyFont="1" applyBorder="1" applyAlignment="1">
      <alignment horizontal="center"/>
    </xf>
    <xf numFmtId="0" fontId="1" fillId="0" borderId="13" xfId="0" applyFont="1" applyBorder="1" applyAlignment="1">
      <alignment horizontal="center"/>
    </xf>
    <xf numFmtId="0" fontId="1" fillId="0" borderId="3" xfId="0" applyFont="1" applyBorder="1" applyAlignment="1">
      <alignment horizontal="left" vertical="center" wrapText="1"/>
    </xf>
    <xf numFmtId="0" fontId="0" fillId="0" borderId="0" xfId="0" applyAlignment="1">
      <alignment horizontal="left" indent="1"/>
    </xf>
    <xf numFmtId="0" fontId="1" fillId="0" borderId="23" xfId="0" applyFont="1" applyBorder="1" applyAlignment="1">
      <alignment horizontal="center" vertical="center" wrapText="1"/>
    </xf>
    <xf numFmtId="0" fontId="1" fillId="4" borderId="18" xfId="0" applyFont="1" applyFill="1" applyBorder="1" applyAlignment="1">
      <alignment horizontal="center"/>
    </xf>
    <xf numFmtId="0" fontId="1" fillId="4" borderId="17" xfId="0" applyFont="1" applyFill="1" applyBorder="1" applyAlignment="1">
      <alignment horizontal="center" vertical="center"/>
    </xf>
    <xf numFmtId="0" fontId="1" fillId="0" borderId="17" xfId="0" applyFont="1" applyBorder="1" applyAlignment="1">
      <alignment horizontal="center" vertical="center" wrapText="1"/>
    </xf>
    <xf numFmtId="0" fontId="1" fillId="0" borderId="7" xfId="0" applyFont="1" applyBorder="1" applyAlignment="1">
      <alignment horizontal="center" vertical="center" wrapText="1"/>
    </xf>
    <xf numFmtId="0" fontId="0" fillId="8" borderId="0" xfId="0" applyFill="1"/>
    <xf numFmtId="0" fontId="1" fillId="8" borderId="11" xfId="0" applyFont="1" applyFill="1" applyBorder="1" applyAlignment="1">
      <alignment horizontal="center"/>
    </xf>
    <xf numFmtId="0" fontId="1" fillId="8" borderId="11" xfId="0" applyFont="1" applyFill="1" applyBorder="1" applyAlignment="1">
      <alignment horizontal="center" vertical="center" wrapText="1"/>
    </xf>
    <xf numFmtId="0" fontId="1" fillId="8" borderId="11" xfId="0" applyFont="1" applyFill="1" applyBorder="1" applyAlignment="1">
      <alignment horizontal="center" vertical="center"/>
    </xf>
    <xf numFmtId="0" fontId="1" fillId="8" borderId="11" xfId="0" applyFont="1" applyFill="1" applyBorder="1" applyAlignment="1">
      <alignment horizontal="left" wrapText="1"/>
    </xf>
    <xf numFmtId="0" fontId="1" fillId="8" borderId="11" xfId="0" applyFont="1" applyFill="1" applyBorder="1" applyAlignment="1">
      <alignment horizontal="left"/>
    </xf>
    <xf numFmtId="14" fontId="1" fillId="8" borderId="11" xfId="0" applyNumberFormat="1" applyFont="1" applyFill="1" applyBorder="1" applyAlignment="1">
      <alignment horizontal="left"/>
    </xf>
    <xf numFmtId="0" fontId="1" fillId="8" borderId="11" xfId="0" applyFont="1" applyFill="1" applyBorder="1" applyAlignment="1">
      <alignment horizontal="left" vertical="center"/>
    </xf>
    <xf numFmtId="0" fontId="0" fillId="8" borderId="11" xfId="0" applyFill="1" applyBorder="1" applyAlignment="1">
      <alignment horizontal="center"/>
    </xf>
    <xf numFmtId="0" fontId="1" fillId="6" borderId="11" xfId="0" applyFont="1" applyFill="1" applyBorder="1" applyAlignment="1">
      <alignment horizontal="center" vertical="center" wrapText="1"/>
    </xf>
    <xf numFmtId="0" fontId="7" fillId="4" borderId="17" xfId="0" applyFont="1" applyFill="1" applyBorder="1" applyAlignment="1">
      <alignment horizontal="left" wrapText="1"/>
    </xf>
    <xf numFmtId="0" fontId="4" fillId="0" borderId="3" xfId="0" applyFont="1" applyBorder="1" applyAlignment="1">
      <alignment horizontal="left" vertical="center" wrapText="1"/>
    </xf>
    <xf numFmtId="0" fontId="5" fillId="0" borderId="0" xfId="0" applyFont="1" applyAlignment="1">
      <alignment horizontal="left" vertical="center" wrapText="1"/>
    </xf>
    <xf numFmtId="0" fontId="1" fillId="0" borderId="24" xfId="0" applyFont="1" applyBorder="1" applyAlignment="1">
      <alignment horizontal="left" vertical="center" wrapText="1"/>
    </xf>
    <xf numFmtId="0" fontId="1" fillId="0" borderId="14" xfId="0" applyFont="1" applyBorder="1"/>
    <xf numFmtId="0" fontId="15" fillId="4" borderId="0" xfId="0" applyFont="1" applyFill="1" applyAlignment="1">
      <alignment horizontal="left"/>
    </xf>
    <xf numFmtId="0" fontId="16" fillId="4" borderId="0" xfId="0" applyFont="1" applyFill="1" applyAlignment="1">
      <alignment horizontal="left" vertical="top" wrapText="1"/>
    </xf>
    <xf numFmtId="0" fontId="17" fillId="4" borderId="0" xfId="0" applyFont="1" applyFill="1" applyAlignment="1">
      <alignment horizontal="left" vertical="top" wrapText="1"/>
    </xf>
    <xf numFmtId="0" fontId="1" fillId="4" borderId="25" xfId="0" applyFont="1" applyFill="1" applyBorder="1" applyAlignment="1">
      <alignment horizontal="left"/>
    </xf>
    <xf numFmtId="0" fontId="1" fillId="4" borderId="26" xfId="0" applyFont="1" applyFill="1" applyBorder="1" applyAlignment="1">
      <alignment horizontal="left"/>
    </xf>
    <xf numFmtId="164" fontId="1" fillId="0" borderId="14" xfId="0" applyNumberFormat="1" applyFont="1" applyBorder="1" applyAlignment="1">
      <alignment horizontal="left"/>
    </xf>
    <xf numFmtId="164" fontId="1" fillId="0" borderId="16" xfId="0" applyNumberFormat="1" applyFont="1" applyBorder="1" applyAlignment="1">
      <alignment horizontal="left"/>
    </xf>
    <xf numFmtId="164" fontId="1" fillId="0" borderId="0" xfId="0" applyNumberFormat="1" applyFont="1" applyAlignment="1">
      <alignment horizontal="left"/>
    </xf>
    <xf numFmtId="0" fontId="1" fillId="6" borderId="0" xfId="0" applyFont="1" applyFill="1" applyAlignment="1">
      <alignment horizontal="center"/>
    </xf>
    <xf numFmtId="14" fontId="18" fillId="0" borderId="11" xfId="0" applyNumberFormat="1" applyFont="1" applyBorder="1" applyAlignment="1">
      <alignment horizontal="left"/>
    </xf>
    <xf numFmtId="14" fontId="1" fillId="4" borderId="0" xfId="0" applyNumberFormat="1" applyFont="1" applyFill="1" applyAlignment="1">
      <alignment horizontal="left"/>
    </xf>
    <xf numFmtId="14" fontId="15" fillId="0" borderId="11" xfId="0" applyNumberFormat="1" applyFont="1" applyBorder="1" applyAlignment="1">
      <alignment horizontal="left"/>
    </xf>
    <xf numFmtId="0" fontId="12" fillId="3" borderId="11" xfId="0" applyFont="1" applyFill="1" applyBorder="1" applyAlignment="1">
      <alignment vertical="center"/>
    </xf>
    <xf numFmtId="0" fontId="11" fillId="0" borderId="11" xfId="0" applyFont="1" applyBorder="1" applyAlignment="1">
      <alignment horizontal="center" vertical="center"/>
    </xf>
    <xf numFmtId="0" fontId="11" fillId="0" borderId="11" xfId="0" applyFont="1" applyBorder="1" applyAlignment="1">
      <alignment horizontal="center" vertical="center" wrapText="1"/>
    </xf>
    <xf numFmtId="14" fontId="11" fillId="0" borderId="11" xfId="0" applyNumberFormat="1" applyFont="1" applyBorder="1" applyAlignment="1">
      <alignment horizontal="center" vertical="center"/>
    </xf>
    <xf numFmtId="0" fontId="11" fillId="2" borderId="11" xfId="0" applyFont="1" applyFill="1" applyBorder="1" applyAlignment="1">
      <alignment horizontal="center" vertical="center"/>
    </xf>
    <xf numFmtId="0" fontId="11" fillId="0" borderId="11" xfId="0" applyFont="1" applyBorder="1" applyAlignment="1">
      <alignment vertical="center"/>
    </xf>
    <xf numFmtId="0" fontId="11" fillId="0" borderId="11" xfId="0" applyFont="1" applyBorder="1" applyAlignment="1">
      <alignment horizontal="left" vertical="center"/>
    </xf>
    <xf numFmtId="0" fontId="11" fillId="0" borderId="0" xfId="0" applyFont="1" applyAlignment="1">
      <alignment vertical="center"/>
    </xf>
    <xf numFmtId="0" fontId="1" fillId="6" borderId="12" xfId="0" applyFont="1" applyFill="1" applyBorder="1" applyAlignment="1">
      <alignment horizontal="center"/>
    </xf>
    <xf numFmtId="0" fontId="1" fillId="6" borderId="11" xfId="0" applyFont="1" applyFill="1" applyBorder="1" applyAlignment="1">
      <alignment horizontal="left" wrapText="1"/>
    </xf>
    <xf numFmtId="0" fontId="1" fillId="6" borderId="11" xfId="0" applyFont="1" applyFill="1" applyBorder="1" applyAlignment="1">
      <alignment horizontal="left"/>
    </xf>
    <xf numFmtId="14" fontId="1" fillId="6" borderId="11" xfId="0" applyNumberFormat="1" applyFont="1" applyFill="1" applyBorder="1" applyAlignment="1">
      <alignment horizontal="left"/>
    </xf>
    <xf numFmtId="0" fontId="0" fillId="6" borderId="11" xfId="0" applyFill="1" applyBorder="1" applyAlignment="1">
      <alignment horizontal="center"/>
    </xf>
    <xf numFmtId="0" fontId="1" fillId="6" borderId="15" xfId="0" applyFont="1" applyFill="1" applyBorder="1" applyAlignment="1">
      <alignment horizontal="left"/>
    </xf>
    <xf numFmtId="0" fontId="0" fillId="6" borderId="0" xfId="0" applyFill="1"/>
    <xf numFmtId="0" fontId="1" fillId="8" borderId="0" xfId="0" applyFont="1" applyFill="1" applyAlignment="1">
      <alignment horizontal="center"/>
    </xf>
    <xf numFmtId="0" fontId="1" fillId="4" borderId="0" xfId="0" applyFont="1" applyFill="1" applyAlignment="1">
      <alignment horizontal="center"/>
    </xf>
    <xf numFmtId="0" fontId="11" fillId="0" borderId="27" xfId="0" applyFont="1" applyBorder="1" applyAlignment="1">
      <alignment vertical="center"/>
    </xf>
    <xf numFmtId="0" fontId="4" fillId="0" borderId="0" xfId="0" applyFont="1" applyAlignment="1" applyProtection="1">
      <alignment horizontal="center"/>
      <protection locked="0"/>
    </xf>
    <xf numFmtId="0" fontId="3" fillId="3" borderId="1" xfId="0" applyFont="1" applyFill="1" applyBorder="1" applyAlignment="1">
      <alignment horizontal="center" vertical="center"/>
    </xf>
    <xf numFmtId="14" fontId="2" fillId="0" borderId="0" xfId="0" applyNumberFormat="1" applyFont="1" applyAlignment="1">
      <alignment vertical="center"/>
    </xf>
    <xf numFmtId="14" fontId="0" fillId="0" borderId="0" xfId="0" applyNumberFormat="1" applyProtection="1">
      <protection locked="0"/>
    </xf>
    <xf numFmtId="14" fontId="1" fillId="0" borderId="0" xfId="0" applyNumberFormat="1" applyFont="1" applyAlignment="1" applyProtection="1">
      <alignment horizontal="center"/>
      <protection locked="0"/>
    </xf>
    <xf numFmtId="0" fontId="1" fillId="9" borderId="0" xfId="0" applyFont="1" applyFill="1" applyAlignment="1">
      <alignment horizontal="left"/>
    </xf>
    <xf numFmtId="14" fontId="1" fillId="0" borderId="0" xfId="0" applyNumberFormat="1" applyFont="1" applyAlignment="1">
      <alignment horizontal="center"/>
    </xf>
    <xf numFmtId="14" fontId="0" fillId="0" borderId="0" xfId="0" applyNumberFormat="1" applyAlignment="1" applyProtection="1">
      <alignment horizontal="left"/>
      <protection locked="0"/>
    </xf>
    <xf numFmtId="0" fontId="2" fillId="0" borderId="0" xfId="0" applyFont="1" applyAlignment="1" applyProtection="1">
      <alignment horizontal="left" vertical="center" wrapText="1"/>
      <protection locked="0"/>
    </xf>
    <xf numFmtId="14" fontId="2" fillId="0" borderId="0" xfId="0" applyNumberFormat="1" applyFont="1" applyAlignment="1" applyProtection="1">
      <alignment horizontal="left" vertical="center"/>
      <protection locked="0"/>
    </xf>
    <xf numFmtId="0" fontId="0" fillId="0" borderId="0" xfId="0" pivotButton="1" applyAlignment="1">
      <alignment horizontal="left"/>
    </xf>
    <xf numFmtId="14" fontId="0" fillId="0" borderId="0" xfId="0" applyNumberFormat="1" applyAlignment="1">
      <alignment horizontal="left"/>
    </xf>
    <xf numFmtId="0" fontId="2" fillId="0" borderId="0" xfId="0" applyFont="1" applyAlignment="1">
      <alignment horizontal="left" vertical="center" wrapText="1"/>
    </xf>
    <xf numFmtId="14" fontId="2" fillId="0" borderId="0" xfId="0" applyNumberFormat="1" applyFont="1" applyAlignment="1">
      <alignment horizontal="left" vertical="center"/>
    </xf>
    <xf numFmtId="14" fontId="3" fillId="3" borderId="1" xfId="0" applyNumberFormat="1" applyFont="1" applyFill="1" applyBorder="1" applyAlignment="1">
      <alignment horizontal="left" vertical="center"/>
    </xf>
    <xf numFmtId="165" fontId="3" fillId="3" borderId="1" xfId="0" applyNumberFormat="1" applyFont="1" applyFill="1" applyBorder="1" applyAlignment="1">
      <alignment horizontal="left" vertical="center"/>
    </xf>
    <xf numFmtId="165" fontId="0" fillId="0" borderId="0" xfId="0" applyNumberFormat="1" applyAlignment="1">
      <alignment horizontal="left"/>
    </xf>
    <xf numFmtId="14" fontId="1" fillId="10" borderId="0" xfId="0" applyNumberFormat="1" applyFont="1" applyFill="1" applyAlignment="1">
      <alignment horizontal="center"/>
    </xf>
    <xf numFmtId="0" fontId="12" fillId="3" borderId="1" xfId="0" applyFont="1" applyFill="1" applyBorder="1" applyAlignment="1">
      <alignment horizontal="left" vertical="center"/>
    </xf>
    <xf numFmtId="0" fontId="0" fillId="0" borderId="0" xfId="0" applyAlignment="1">
      <alignment horizontal="left" vertical="center"/>
    </xf>
    <xf numFmtId="0" fontId="3" fillId="3" borderId="1" xfId="0" applyFont="1" applyFill="1" applyBorder="1" applyAlignment="1">
      <alignment horizontal="left" vertical="center"/>
    </xf>
    <xf numFmtId="0" fontId="0" fillId="0" borderId="28" xfId="0" applyBorder="1"/>
    <xf numFmtId="0" fontId="4" fillId="0" borderId="7" xfId="0" applyFont="1" applyBorder="1" applyAlignment="1">
      <alignment horizontal="left" vertical="top"/>
    </xf>
    <xf numFmtId="0" fontId="4" fillId="0" borderId="7" xfId="0" applyFont="1" applyBorder="1" applyAlignment="1">
      <alignment vertical="top" wrapText="1"/>
    </xf>
    <xf numFmtId="0" fontId="4" fillId="0" borderId="7" xfId="0" applyFont="1" applyBorder="1" applyAlignment="1">
      <alignment vertical="top"/>
    </xf>
    <xf numFmtId="0" fontId="4" fillId="0" borderId="7" xfId="0" applyFont="1" applyBorder="1" applyAlignment="1">
      <alignment horizontal="left" vertical="top" wrapText="1"/>
    </xf>
    <xf numFmtId="14" fontId="4" fillId="0" borderId="7" xfId="0" applyNumberFormat="1" applyFont="1" applyBorder="1" applyAlignment="1">
      <alignment horizontal="left" vertical="top"/>
    </xf>
    <xf numFmtId="0" fontId="1" fillId="0" borderId="0" xfId="0" applyFont="1" applyAlignment="1">
      <alignment vertical="top"/>
    </xf>
    <xf numFmtId="0" fontId="1" fillId="0" borderId="11" xfId="0" applyFont="1" applyBorder="1" applyAlignment="1">
      <alignment vertical="top"/>
      <extLst>
        <ext xmlns:xfpb="http://schemas.microsoft.com/office/spreadsheetml/2022/featurepropertybag" uri="{C7286773-470A-42A8-94C5-96B5CB345126}">
          <xfpb:xfComplement i="0"/>
        </ext>
      </extLst>
    </xf>
    <xf numFmtId="0" fontId="4" fillId="0" borderId="10" xfId="0" applyFont="1" applyBorder="1" applyAlignment="1">
      <alignment vertical="top"/>
    </xf>
    <xf numFmtId="0" fontId="4" fillId="0" borderId="0" xfId="0" applyFont="1" applyAlignment="1">
      <alignment vertical="top"/>
    </xf>
    <xf numFmtId="0" fontId="1" fillId="0" borderId="0" xfId="0" applyFont="1" applyAlignment="1">
      <alignment horizontal="center" vertical="top"/>
    </xf>
    <xf numFmtId="0" fontId="0" fillId="0" borderId="0" xfId="0" applyAlignment="1">
      <alignment vertical="top"/>
    </xf>
    <xf numFmtId="0" fontId="4" fillId="0" borderId="8" xfId="0" applyFont="1" applyBorder="1" applyAlignment="1">
      <alignment vertical="top"/>
    </xf>
    <xf numFmtId="0" fontId="4" fillId="0" borderId="8" xfId="0" applyFont="1" applyBorder="1" applyAlignment="1">
      <alignment vertical="top" wrapText="1"/>
    </xf>
    <xf numFmtId="0" fontId="4" fillId="0" borderId="8" xfId="0" applyFont="1" applyBorder="1" applyAlignment="1">
      <alignment horizontal="left" vertical="top" wrapText="1"/>
    </xf>
    <xf numFmtId="0" fontId="4" fillId="0" borderId="8" xfId="0" applyFont="1" applyBorder="1" applyAlignment="1">
      <alignment horizontal="left" vertical="top"/>
    </xf>
    <xf numFmtId="0" fontId="4" fillId="0" borderId="9" xfId="0" applyFont="1" applyBorder="1" applyAlignment="1">
      <alignment horizontal="left" vertical="top" wrapText="1"/>
    </xf>
    <xf numFmtId="0" fontId="4" fillId="0" borderId="9" xfId="0" applyFont="1" applyBorder="1" applyAlignment="1">
      <alignment vertical="top"/>
    </xf>
    <xf numFmtId="14" fontId="4" fillId="0" borderId="9" xfId="0" applyNumberFormat="1" applyFont="1" applyBorder="1" applyAlignment="1">
      <alignment horizontal="left" vertical="top"/>
    </xf>
    <xf numFmtId="14" fontId="4" fillId="0" borderId="8" xfId="0" applyNumberFormat="1" applyFont="1" applyBorder="1" applyAlignment="1">
      <alignment horizontal="left" vertical="top"/>
    </xf>
    <xf numFmtId="0" fontId="4" fillId="0" borderId="11" xfId="0" applyFont="1" applyBorder="1" applyAlignment="1">
      <alignment vertical="top"/>
    </xf>
    <xf numFmtId="0" fontId="4" fillId="0" borderId="7" xfId="0" applyFont="1" applyBorder="1" applyAlignment="1">
      <alignment horizontal="center" vertical="top" wrapText="1"/>
    </xf>
    <xf numFmtId="0" fontId="4" fillId="0" borderId="7" xfId="0" applyFont="1" applyBorder="1" applyAlignment="1">
      <alignment horizontal="center" vertical="center"/>
    </xf>
    <xf numFmtId="0" fontId="6" fillId="0" borderId="4" xfId="0" applyFont="1" applyBorder="1" applyAlignment="1">
      <alignment horizontal="left" vertical="top" wrapText="1"/>
    </xf>
    <xf numFmtId="0" fontId="19" fillId="0" borderId="7" xfId="0" applyFont="1" applyBorder="1" applyAlignment="1">
      <alignment horizontal="left" vertical="top"/>
    </xf>
    <xf numFmtId="0" fontId="19" fillId="0" borderId="8" xfId="0" applyFont="1" applyBorder="1" applyAlignment="1">
      <alignment horizontal="left" vertical="top"/>
    </xf>
    <xf numFmtId="0" fontId="4" fillId="0" borderId="30" xfId="0" applyFont="1" applyBorder="1" applyAlignment="1">
      <alignment vertical="top"/>
    </xf>
    <xf numFmtId="0" fontId="4" fillId="0" borderId="31" xfId="0" applyFont="1" applyBorder="1" applyAlignment="1">
      <alignment vertical="top"/>
    </xf>
    <xf numFmtId="0" fontId="4" fillId="0" borderId="32" xfId="0" applyFont="1" applyBorder="1" applyAlignment="1">
      <alignment vertical="top"/>
    </xf>
    <xf numFmtId="0" fontId="4" fillId="0" borderId="15" xfId="0" applyFont="1" applyBorder="1" applyAlignment="1">
      <alignment vertical="top"/>
    </xf>
    <xf numFmtId="0" fontId="4" fillId="0" borderId="7" xfId="0" quotePrefix="1" applyFont="1" applyBorder="1" applyAlignment="1">
      <alignment vertical="top"/>
    </xf>
    <xf numFmtId="0" fontId="4" fillId="0" borderId="7" xfId="0" quotePrefix="1" applyFont="1" applyBorder="1" applyAlignment="1">
      <alignment vertical="top" wrapText="1"/>
    </xf>
    <xf numFmtId="0" fontId="1" fillId="6" borderId="18" xfId="0" applyFont="1" applyFill="1" applyBorder="1" applyAlignment="1">
      <alignment horizontal="center"/>
    </xf>
    <xf numFmtId="0" fontId="1" fillId="6" borderId="17" xfId="0" applyFont="1" applyFill="1" applyBorder="1" applyAlignment="1">
      <alignment horizontal="left" wrapText="1"/>
    </xf>
    <xf numFmtId="0" fontId="1" fillId="6" borderId="17" xfId="0" applyFont="1" applyFill="1" applyBorder="1" applyAlignment="1">
      <alignment horizontal="left"/>
    </xf>
    <xf numFmtId="14" fontId="1" fillId="6" borderId="17" xfId="0" applyNumberFormat="1" applyFont="1" applyFill="1" applyBorder="1" applyAlignment="1">
      <alignment horizontal="left"/>
    </xf>
    <xf numFmtId="0" fontId="1" fillId="6" borderId="17" xfId="0" applyFont="1" applyFill="1" applyBorder="1" applyAlignment="1">
      <alignment vertical="center"/>
      <extLst>
        <ext xmlns:xfpb="http://schemas.microsoft.com/office/spreadsheetml/2022/featurepropertybag" uri="{C7286773-470A-42A8-94C5-96B5CB345126}">
          <xfpb:xfComplement i="0"/>
        </ext>
      </extLst>
    </xf>
    <xf numFmtId="0" fontId="1" fillId="6" borderId="17" xfId="0" applyFont="1" applyFill="1" applyBorder="1" applyAlignment="1">
      <alignment horizontal="left" vertical="center"/>
    </xf>
    <xf numFmtId="0" fontId="1" fillId="6" borderId="19" xfId="0" applyFont="1" applyFill="1" applyBorder="1" applyAlignment="1">
      <alignment horizontal="left"/>
    </xf>
    <xf numFmtId="0" fontId="1" fillId="0" borderId="29" xfId="0" applyFont="1" applyBorder="1" applyAlignment="1">
      <alignment horizontal="center"/>
    </xf>
    <xf numFmtId="0" fontId="21" fillId="12" borderId="7" xfId="0" applyFont="1" applyFill="1" applyBorder="1"/>
    <xf numFmtId="0" fontId="20" fillId="0" borderId="10" xfId="0" applyFont="1" applyBorder="1"/>
    <xf numFmtId="0" fontId="4" fillId="11" borderId="7" xfId="0" applyFont="1" applyFill="1" applyBorder="1" applyAlignment="1">
      <alignment vertical="top"/>
    </xf>
    <xf numFmtId="0" fontId="4" fillId="0" borderId="7" xfId="0" applyFont="1" applyBorder="1" applyAlignment="1">
      <alignment horizontal="center" vertical="top"/>
    </xf>
    <xf numFmtId="0" fontId="4" fillId="0" borderId="8" xfId="0" applyFont="1" applyBorder="1" applyAlignment="1">
      <alignment horizontal="center" vertical="top"/>
    </xf>
    <xf numFmtId="14" fontId="18" fillId="0" borderId="17" xfId="0" applyNumberFormat="1" applyFont="1" applyBorder="1" applyAlignment="1">
      <alignment horizontal="left"/>
    </xf>
    <xf numFmtId="0" fontId="1" fillId="6" borderId="17" xfId="0" applyFont="1" applyFill="1" applyBorder="1" applyAlignment="1">
      <alignment horizontal="center" vertical="center"/>
    </xf>
    <xf numFmtId="0" fontId="12" fillId="3" borderId="11" xfId="0" applyFont="1" applyFill="1" applyBorder="1" applyAlignment="1">
      <alignment horizontal="center" vertical="center"/>
    </xf>
    <xf numFmtId="0" fontId="4" fillId="11" borderId="4" xfId="0" applyFont="1" applyFill="1" applyBorder="1" applyProtection="1">
      <protection locked="0"/>
    </xf>
    <xf numFmtId="0" fontId="0" fillId="0" borderId="0" xfId="0" pivotButton="1" applyAlignment="1">
      <alignment horizontal="center" vertical="center"/>
    </xf>
    <xf numFmtId="0" fontId="1" fillId="4" borderId="23" xfId="0" applyFont="1" applyFill="1" applyBorder="1" applyAlignment="1">
      <alignment horizontal="left"/>
    </xf>
    <xf numFmtId="0" fontId="1" fillId="4" borderId="23" xfId="0" applyFont="1" applyFill="1" applyBorder="1" applyAlignment="1">
      <alignment horizontal="center" vertical="center" wrapText="1"/>
    </xf>
    <xf numFmtId="0" fontId="1" fillId="4" borderId="33" xfId="0" applyFont="1" applyFill="1" applyBorder="1" applyAlignment="1">
      <alignment horizontal="center"/>
    </xf>
    <xf numFmtId="0" fontId="1" fillId="4" borderId="23" xfId="0" applyFont="1" applyFill="1" applyBorder="1" applyAlignment="1">
      <alignment horizontal="center" vertical="center"/>
    </xf>
    <xf numFmtId="0" fontId="1" fillId="4" borderId="23" xfId="0" applyFont="1" applyFill="1" applyBorder="1" applyAlignment="1">
      <alignment horizontal="left" wrapText="1"/>
    </xf>
    <xf numFmtId="14" fontId="1" fillId="4" borderId="23" xfId="0" applyNumberFormat="1" applyFont="1" applyFill="1" applyBorder="1" applyAlignment="1">
      <alignment horizontal="left"/>
    </xf>
    <xf numFmtId="0" fontId="1" fillId="4" borderId="23" xfId="0" applyFont="1" applyFill="1" applyBorder="1" applyAlignment="1">
      <alignment vertical="center"/>
      <extLst>
        <ext xmlns:xfpb="http://schemas.microsoft.com/office/spreadsheetml/2022/featurepropertybag" uri="{C7286773-470A-42A8-94C5-96B5CB345126}">
          <xfpb:xfComplement i="0"/>
        </ext>
      </extLst>
    </xf>
    <xf numFmtId="0" fontId="1" fillId="4" borderId="23" xfId="0" applyFont="1" applyFill="1" applyBorder="1" applyAlignment="1">
      <alignment horizontal="left" vertical="center"/>
    </xf>
    <xf numFmtId="0" fontId="1" fillId="4" borderId="34" xfId="0" applyFont="1" applyFill="1" applyBorder="1" applyAlignment="1">
      <alignment horizontal="left"/>
    </xf>
    <xf numFmtId="0" fontId="1" fillId="4" borderId="36" xfId="0" applyFont="1" applyFill="1" applyBorder="1" applyAlignment="1">
      <alignment horizontal="center"/>
    </xf>
    <xf numFmtId="0" fontId="22" fillId="0" borderId="0" xfId="0" applyFont="1"/>
    <xf numFmtId="0" fontId="1" fillId="4" borderId="35" xfId="0" applyFont="1" applyFill="1" applyBorder="1" applyAlignment="1">
      <alignment horizontal="left"/>
    </xf>
    <xf numFmtId="0" fontId="11" fillId="0" borderId="27" xfId="0" applyFont="1" applyBorder="1" applyAlignment="1">
      <alignment horizontal="left" vertical="center"/>
    </xf>
    <xf numFmtId="0" fontId="8" fillId="0" borderId="0" xfId="0" applyFont="1" applyAlignment="1">
      <alignment horizontal="center" vertical="center"/>
    </xf>
  </cellXfs>
  <cellStyles count="1">
    <cellStyle name="Normal" xfId="0" builtinId="0"/>
  </cellStyles>
  <dxfs count="214">
    <dxf>
      <font>
        <color rgb="FFC00000"/>
      </font>
      <fill>
        <patternFill>
          <bgColor theme="8" tint="0.79998168889431442"/>
        </patternFill>
      </fill>
    </dxf>
    <dxf>
      <font>
        <color rgb="FFC00000"/>
      </font>
      <fill>
        <patternFill>
          <bgColor theme="8" tint="0.79998168889431442"/>
        </patternFill>
      </fill>
    </dxf>
    <dxf>
      <font>
        <color rgb="FFC00000"/>
      </font>
      <fill>
        <patternFill>
          <bgColor theme="8" tint="0.79998168889431442"/>
        </patternFill>
      </fill>
    </dxf>
    <dxf>
      <font>
        <color rgb="FFC00000"/>
      </font>
      <fill>
        <patternFill>
          <bgColor theme="8" tint="0.79998168889431442"/>
        </patternFill>
      </fill>
    </dxf>
    <dxf>
      <font>
        <strike val="0"/>
        <outline val="0"/>
        <shadow val="0"/>
        <u val="none"/>
        <vertAlign val="baseline"/>
        <sz val="10"/>
        <color rgb="FF000000"/>
        <name val="Aptos Narrow"/>
        <family val="2"/>
        <scheme val="none"/>
      </font>
      <numFmt numFmtId="0" formatCode="General"/>
      <alignment horizontal="left" vertical="center" textRotation="0" wrapText="1" indent="0" justifyLastLine="0" shrinkToFit="0" readingOrder="0"/>
    </dxf>
    <dxf>
      <font>
        <strike val="0"/>
        <outline val="0"/>
        <shadow val="0"/>
        <u val="none"/>
        <vertAlign val="baseline"/>
        <sz val="10"/>
        <color rgb="FF000000"/>
        <name val="Aptos Narrow"/>
        <family val="2"/>
        <scheme val="none"/>
      </font>
      <alignment horizontal="left" vertical="center" textRotation="0" wrapText="1" indent="0" justifyLastLine="0" shrinkToFit="0" readingOrder="0"/>
    </dxf>
    <dxf>
      <font>
        <sz val="10"/>
      </font>
      <alignment horizontal="left" vertical="center" textRotation="0" wrapText="1" indent="0" justifyLastLine="0" shrinkToFit="0" readingOrder="0"/>
    </dxf>
    <dxf>
      <font>
        <sz val="10"/>
      </font>
      <alignment horizontal="left" vertical="center" textRotation="0" wrapText="1" indent="0" justifyLastLine="0" shrinkToFit="0" readingOrder="0"/>
    </dxf>
    <dxf>
      <font>
        <sz val="10"/>
      </font>
      <alignment horizontal="left" vertical="center" textRotation="0" wrapText="1" indent="0" justifyLastLine="0" shrinkToFit="0" readingOrder="0"/>
    </dxf>
    <dxf>
      <font>
        <sz val="10"/>
      </font>
      <alignment horizontal="left" vertical="center" textRotation="0" wrapText="1" indent="0" justifyLastLine="0" shrinkToFit="0" readingOrder="0"/>
    </dxf>
    <dxf>
      <font>
        <sz val="10"/>
      </font>
      <alignment horizontal="left" vertical="center" textRotation="0" wrapText="1" indent="0" justifyLastLine="0" shrinkToFit="0" readingOrder="0"/>
    </dxf>
    <dxf>
      <font>
        <sz val="10"/>
      </font>
      <alignment horizontal="left" vertical="center" textRotation="0" wrapText="1" indent="0" justifyLastLine="0" shrinkToFit="0" readingOrder="0"/>
    </dxf>
    <dxf>
      <font>
        <b val="0"/>
        <i val="0"/>
        <strike val="0"/>
        <condense val="0"/>
        <extend val="0"/>
        <outline val="0"/>
        <shadow val="0"/>
        <u val="none"/>
        <vertAlign val="baseline"/>
        <sz val="10"/>
        <color theme="1"/>
        <name val="Aptos Narrow"/>
        <family val="2"/>
        <scheme val="minor"/>
      </font>
      <numFmt numFmtId="19" formatCode="d/mm/yyyy"/>
      <alignment horizontal="left" vertical="center" textRotation="0" wrapText="1" indent="0" justifyLastLine="0" shrinkToFit="0" readingOrder="0"/>
    </dxf>
    <dxf>
      <font>
        <sz val="10"/>
      </font>
      <alignment horizontal="left" vertical="center" textRotation="0" wrapText="1" indent="0" justifyLastLine="0" shrinkToFit="0" readingOrder="0"/>
    </dxf>
    <dxf>
      <font>
        <sz val="10"/>
      </font>
      <alignment horizontal="left" vertical="center" textRotation="0" wrapText="1" indent="0" justifyLastLine="0" shrinkToFit="0" readingOrder="0"/>
    </dxf>
    <dxf>
      <font>
        <sz val="10"/>
      </font>
      <alignment horizontal="left" vertical="center" textRotation="0" wrapText="1" indent="0" justifyLastLine="0" shrinkToFit="0" readingOrder="0"/>
    </dxf>
    <dxf>
      <font>
        <sz val="10"/>
      </font>
      <alignment horizontal="left" vertical="center" textRotation="0" wrapText="1" indent="0" justifyLastLine="0" shrinkToFit="0" readingOrder="0"/>
    </dxf>
    <dxf>
      <font>
        <sz val="10"/>
      </font>
      <alignment horizontal="left" vertical="center" textRotation="0" wrapText="1" indent="0" justifyLastLine="0" shrinkToFit="0" readingOrder="0"/>
    </dxf>
    <dxf>
      <font>
        <sz val="10"/>
      </font>
      <alignment horizontal="left" vertical="center" textRotation="0" wrapText="1" indent="0" justifyLastLine="0" shrinkToFit="0" readingOrder="0"/>
    </dxf>
    <dxf>
      <font>
        <sz val="10"/>
      </font>
      <alignment horizontal="left" vertical="center" textRotation="0" wrapText="1" indent="0" justifyLastLine="0" shrinkToFit="0" readingOrder="0"/>
    </dxf>
    <dxf>
      <font>
        <sz val="10"/>
      </font>
      <alignment horizontal="left" vertical="center" textRotation="0" wrapText="1" indent="0" justifyLastLine="0" shrinkToFit="0" readingOrder="0"/>
    </dxf>
    <dxf>
      <font>
        <sz val="10"/>
      </font>
      <alignment horizontal="left" vertical="center" textRotation="0" wrapText="1" indent="0" justifyLastLine="0" shrinkToFit="0" readingOrder="0"/>
    </dxf>
    <dxf>
      <font>
        <strike val="0"/>
        <outline val="0"/>
        <shadow val="0"/>
        <u val="none"/>
        <vertAlign val="baseline"/>
        <sz val="10"/>
        <color rgb="FF000000"/>
        <name val="Aptos Narrow"/>
        <family val="2"/>
        <scheme val="none"/>
      </font>
      <alignment horizontal="left" vertical="center" textRotation="0" wrapText="1" indent="0" justifyLastLine="0" shrinkToFit="0" readingOrder="0"/>
    </dxf>
    <dxf>
      <font>
        <b/>
        <i val="0"/>
        <strike val="0"/>
        <condense val="0"/>
        <extend val="0"/>
        <outline val="0"/>
        <shadow val="0"/>
        <u val="none"/>
        <vertAlign val="baseline"/>
        <sz val="10"/>
        <color theme="1"/>
        <name val="Aptos Narrow"/>
        <family val="2"/>
        <scheme val="minor"/>
      </font>
      <alignment horizontal="left" vertical="center" textRotation="0" wrapText="1" indent="0" justifyLastLine="0" shrinkToFit="0" readingOrder="0"/>
    </dxf>
    <dxf>
      <font>
        <strike val="0"/>
        <outline val="0"/>
        <shadow val="0"/>
        <u val="none"/>
        <vertAlign val="baseline"/>
        <sz val="10"/>
        <color rgb="FF000000"/>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0"/>
        <color rgb="FF000000"/>
        <name val="Aptos Narrow"/>
        <family val="2"/>
        <scheme val="none"/>
      </font>
      <alignment horizontal="center" vertical="bottom" textRotation="0" wrapText="0" indent="0" justifyLastLine="0" shrinkToFit="0" readingOrder="0"/>
    </dxf>
    <dxf>
      <font>
        <strike val="0"/>
        <outline val="0"/>
        <shadow val="0"/>
        <u val="none"/>
        <vertAlign val="baseline"/>
        <sz val="10"/>
        <color rgb="FF000000"/>
        <name val="Aptos Narrow"/>
        <family val="2"/>
        <scheme val="none"/>
      </font>
      <alignment horizontal="center" vertical="bottom" textRotation="0" wrapText="0" indent="0" justifyLastLine="0" shrinkToFit="0" readingOrder="0"/>
    </dxf>
    <dxf>
      <font>
        <strike val="0"/>
        <outline val="0"/>
        <shadow val="0"/>
        <u val="none"/>
        <vertAlign val="baseline"/>
        <sz val="10"/>
        <color theme="1"/>
        <name val="Aptos Narrow"/>
        <family val="2"/>
        <scheme val="minor"/>
      </font>
      <alignment horizontal="left" vertical="center" textRotation="0" wrapText="0" indent="0" justifyLastLine="0" shrinkToFit="0" readingOrder="0"/>
    </dxf>
    <dxf>
      <font>
        <b val="0"/>
        <i val="0"/>
        <strike val="0"/>
        <condense val="0"/>
        <extend val="0"/>
        <outline val="0"/>
        <shadow val="0"/>
        <u val="none"/>
        <vertAlign val="baseline"/>
        <sz val="10"/>
        <color theme="1"/>
        <name val="Aptos Narrow"/>
        <family val="2"/>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extLst>
        <ext xmlns:xfpb="http://schemas.microsoft.com/office/spreadsheetml/2022/featurepropertybag" uri="{0417FA29-78FA-4A13-93AC-8FF0FAFDF519}">
          <xfpb:DXFComplement i="0"/>
        </ext>
      </extLst>
    </dxf>
    <dxf>
      <font>
        <b val="0"/>
        <i val="0"/>
        <strike val="0"/>
        <condense val="0"/>
        <extend val="0"/>
        <outline val="0"/>
        <shadow val="0"/>
        <u val="none"/>
        <vertAlign val="baseline"/>
        <sz val="10"/>
        <color theme="1"/>
        <name val="Aptos Narrow"/>
        <family val="2"/>
        <scheme val="minor"/>
      </font>
      <alignment horizontal="left" vertical="bottom" textRotation="0" wrapText="0" indent="0" justifyLastLine="0" shrinkToFit="0" readingOrder="0"/>
    </dxf>
    <dxf>
      <font>
        <strike val="0"/>
        <outline val="0"/>
        <shadow val="0"/>
        <u val="none"/>
        <vertAlign val="baseline"/>
        <sz val="10"/>
        <color theme="1"/>
        <name val="Aptos Narrow"/>
        <family val="2"/>
        <scheme val="minor"/>
      </font>
      <alignment horizontal="left" vertical="bottom" textRotation="0" wrapText="0" indent="0" justifyLastLine="0" shrinkToFit="0" readingOrder="0"/>
    </dxf>
    <dxf>
      <font>
        <strike val="0"/>
        <outline val="0"/>
        <shadow val="0"/>
        <u val="none"/>
        <vertAlign val="baseline"/>
        <sz val="10"/>
        <color theme="1"/>
        <name val="Aptos Narrow"/>
        <family val="2"/>
        <scheme val="minor"/>
      </font>
      <numFmt numFmtId="19" formatCode="d/mm/yyyy"/>
      <alignment horizontal="left" vertical="bottom" textRotation="0" wrapText="0" indent="0" justifyLastLine="0" shrinkToFit="0" readingOrder="0"/>
    </dxf>
    <dxf>
      <font>
        <b val="0"/>
        <i val="0"/>
        <strike val="0"/>
        <condense val="0"/>
        <extend val="0"/>
        <outline val="0"/>
        <shadow val="0"/>
        <u val="none"/>
        <vertAlign val="baseline"/>
        <sz val="10"/>
        <color theme="1"/>
        <name val="Aptos Narrow"/>
        <family val="2"/>
        <scheme val="minor"/>
      </font>
      <numFmt numFmtId="19" formatCode="d/mm/yyyy"/>
      <alignment horizontal="left" vertical="bottom" textRotation="0" wrapText="0" indent="0" justifyLastLine="0" shrinkToFit="0" readingOrder="0"/>
    </dxf>
    <dxf>
      <font>
        <b val="0"/>
        <i val="0"/>
        <strike val="0"/>
        <condense val="0"/>
        <extend val="0"/>
        <outline val="0"/>
        <shadow val="0"/>
        <u val="none"/>
        <vertAlign val="baseline"/>
        <sz val="10"/>
        <color theme="1"/>
        <name val="Aptos Narrow"/>
        <family val="2"/>
        <scheme val="minor"/>
      </font>
      <alignment horizontal="left" vertical="bottom" textRotation="0" wrapText="0" indent="0" justifyLastLine="0" shrinkToFit="0" readingOrder="0"/>
    </dxf>
    <dxf>
      <font>
        <strike val="0"/>
        <outline val="0"/>
        <shadow val="0"/>
        <u val="none"/>
        <vertAlign val="baseline"/>
        <sz val="10"/>
        <color theme="1"/>
        <name val="Aptos Narrow"/>
        <family val="2"/>
        <scheme val="minor"/>
      </font>
      <alignment horizontal="left" vertical="bottom" textRotation="0" wrapText="0" indent="0" justifyLastLine="0" shrinkToFit="0" readingOrder="0"/>
    </dxf>
    <dxf>
      <font>
        <strike val="0"/>
        <outline val="0"/>
        <shadow val="0"/>
        <u val="none"/>
        <vertAlign val="baseline"/>
        <sz val="10"/>
        <color theme="1"/>
        <name val="Aptos Narrow"/>
        <family val="2"/>
        <scheme val="minor"/>
      </font>
      <alignment horizontal="left" vertical="bottom" textRotation="0" wrapText="0" indent="0" justifyLastLine="0" shrinkToFit="0" readingOrder="0"/>
    </dxf>
    <dxf>
      <font>
        <strike val="0"/>
        <outline val="0"/>
        <shadow val="0"/>
        <u val="none"/>
        <vertAlign val="baseline"/>
        <sz val="10"/>
        <color theme="1"/>
        <name val="Aptos Narrow"/>
        <family val="2"/>
        <scheme val="minor"/>
      </font>
      <alignment horizontal="left" vertical="bottom" textRotation="0" wrapText="0" indent="0" justifyLastLine="0" shrinkToFit="0" readingOrder="0"/>
    </dxf>
    <dxf>
      <font>
        <strike val="0"/>
        <outline val="0"/>
        <shadow val="0"/>
        <u val="none"/>
        <vertAlign val="baseline"/>
        <sz val="10"/>
        <color theme="1"/>
        <name val="Aptos Narrow"/>
        <family val="2"/>
        <scheme val="minor"/>
      </font>
      <alignment horizontal="left" vertical="bottom" textRotation="0" wrapText="0" indent="0" justifyLastLine="0" shrinkToFit="0" readingOrder="0"/>
    </dxf>
    <dxf>
      <font>
        <strike val="0"/>
        <outline val="0"/>
        <shadow val="0"/>
        <u val="none"/>
        <vertAlign val="baseline"/>
        <sz val="10"/>
        <color theme="1"/>
        <name val="Aptos Narrow"/>
        <family val="2"/>
        <scheme val="minor"/>
      </font>
      <alignment horizontal="left" vertical="bottom" textRotation="0" wrapText="0" indent="0" justifyLastLine="0" shrinkToFit="0" readingOrder="0"/>
    </dxf>
    <dxf>
      <font>
        <strike val="0"/>
        <outline val="0"/>
        <shadow val="0"/>
        <u val="none"/>
        <vertAlign val="baseline"/>
        <sz val="10"/>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Aptos Narrow"/>
        <family val="2"/>
        <scheme val="minor"/>
      </font>
      <alignment horizontal="center" vertical="bottom" textRotation="0" wrapText="0" indent="0" justifyLastLine="0" shrinkToFit="0" readingOrder="0"/>
    </dxf>
    <dxf>
      <font>
        <strike val="0"/>
        <outline val="0"/>
        <shadow val="0"/>
        <u val="none"/>
        <vertAlign val="baseline"/>
        <sz val="10"/>
        <color theme="1"/>
        <name val="Aptos Narrow"/>
        <family val="2"/>
        <scheme val="minor"/>
      </font>
      <alignment horizontal="center" vertical="bottom" textRotation="0" wrapText="0" indent="0" justifyLastLine="0" shrinkToFit="0" readingOrder="0"/>
      <border diagonalUp="0" diagonalDown="0">
        <left style="thin">
          <color theme="4"/>
        </left>
        <right/>
        <top style="thin">
          <color theme="4"/>
        </top>
        <bottom/>
        <vertical/>
        <horizontal/>
      </border>
    </dxf>
    <dxf>
      <font>
        <strike val="0"/>
        <outline val="0"/>
        <shadow val="0"/>
        <u val="none"/>
        <vertAlign val="baseline"/>
        <sz val="10"/>
        <color rgb="FF000000"/>
        <name val="Aptos Narrow"/>
        <family val="2"/>
        <scheme val="none"/>
      </font>
      <alignment horizontal="center" vertical="bottom" textRotation="0" wrapText="0" indent="0" justifyLastLine="0" shrinkToFit="0" readingOrder="0"/>
    </dxf>
    <dxf>
      <font>
        <b/>
        <i val="0"/>
        <strike val="0"/>
        <condense val="0"/>
        <extend val="0"/>
        <outline val="0"/>
        <shadow val="0"/>
        <u val="none"/>
        <vertAlign val="baseline"/>
        <sz val="9"/>
        <color theme="1"/>
        <name val="Aptos Narrow"/>
        <family val="2"/>
        <scheme val="minor"/>
      </font>
      <alignment horizontal="general" vertical="center" textRotation="0" indent="0" justifyLastLine="0" shrinkToFit="0" readingOrder="0"/>
    </dxf>
    <dxf>
      <font>
        <strike val="0"/>
        <outline val="0"/>
        <shadow val="0"/>
        <u val="none"/>
        <vertAlign val="baseline"/>
        <sz val="10"/>
        <color rgb="FF000000"/>
        <name val="Aptos Narrow"/>
        <family val="2"/>
        <scheme val="none"/>
      </font>
      <numFmt numFmtId="0" formatCode="General"/>
      <alignment horizontal="center" vertical="bottom" textRotation="0" wrapText="0" indent="0" justifyLastLine="0" shrinkToFit="0" readingOrder="0"/>
      <protection locked="0" hidden="0"/>
    </dxf>
    <dxf>
      <font>
        <strike val="0"/>
        <outline val="0"/>
        <shadow val="0"/>
        <u val="none"/>
        <vertAlign val="baseline"/>
        <sz val="10"/>
        <color rgb="FF000000"/>
        <name val="Aptos Narrow"/>
        <family val="2"/>
        <scheme val="none"/>
      </font>
      <alignment horizontal="center" vertical="bottom" textRotation="0" wrapText="0" indent="0" justifyLastLine="0" shrinkToFit="0" readingOrder="0"/>
      <protection locked="0" hidden="0"/>
    </dxf>
    <dxf>
      <font>
        <strike val="0"/>
        <outline val="0"/>
        <shadow val="0"/>
        <u val="none"/>
        <vertAlign val="baseline"/>
        <sz val="10"/>
        <color rgb="FF000000"/>
        <name val="Aptos Narrow"/>
        <family val="2"/>
        <scheme val="none"/>
      </font>
      <alignment horizontal="center" vertical="bottom" textRotation="0" wrapText="0" indent="0" justifyLastLine="0" shrinkToFit="0" readingOrder="0"/>
      <protection locked="0" hidden="0"/>
    </dxf>
    <dxf>
      <font>
        <strike val="0"/>
        <outline val="0"/>
        <shadow val="0"/>
        <u val="none"/>
        <vertAlign val="baseline"/>
        <sz val="10"/>
        <color theme="1"/>
        <name val="Aptos Narrow"/>
        <family val="2"/>
        <scheme val="minor"/>
      </font>
      <alignment horizontal="left" vertical="center" textRotation="0" wrapText="0" indent="0" justifyLastLine="0" shrinkToFit="0" readingOrder="0"/>
      <protection locked="1" hidden="0"/>
    </dxf>
    <dxf>
      <font>
        <b val="0"/>
        <i val="0"/>
        <strike val="0"/>
        <condense val="0"/>
        <extend val="0"/>
        <outline val="0"/>
        <shadow val="0"/>
        <u val="none"/>
        <vertAlign val="baseline"/>
        <sz val="10"/>
        <color theme="1"/>
        <name val="Aptos Narrow"/>
        <family val="2"/>
        <scheme val="minor"/>
      </font>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theme="1"/>
        <name val="Aptos Narrow"/>
        <family val="2"/>
        <scheme val="minor"/>
      </font>
      <alignment horizontal="left" vertical="bottom" textRotation="0" wrapText="0" indent="0" justifyLastLine="0" shrinkToFit="0" readingOrder="0"/>
      <protection locked="0" hidden="0"/>
    </dxf>
    <dxf>
      <font>
        <strike val="0"/>
        <outline val="0"/>
        <shadow val="0"/>
        <u val="none"/>
        <vertAlign val="baseline"/>
        <sz val="10"/>
        <color theme="1"/>
        <name val="Aptos Narrow"/>
        <family val="2"/>
        <scheme val="minor"/>
      </font>
      <alignment horizontal="left" vertical="bottom" textRotation="0" wrapText="0" indent="0" justifyLastLine="0" shrinkToFit="0" readingOrder="0"/>
      <protection locked="0" hidden="0"/>
    </dxf>
    <dxf>
      <font>
        <strike val="0"/>
        <outline val="0"/>
        <shadow val="0"/>
        <u val="none"/>
        <vertAlign val="baseline"/>
        <sz val="10"/>
        <color theme="1"/>
        <name val="Aptos Narrow"/>
        <family val="2"/>
        <scheme val="minor"/>
      </font>
      <numFmt numFmtId="19" formatCode="d/mm/yyyy"/>
      <alignment horizontal="left" vertical="bottom" textRotation="0" wrapText="0" indent="0" justifyLastLine="0" shrinkToFit="0" readingOrder="0"/>
      <protection locked="0" hidden="0"/>
    </dxf>
    <dxf>
      <numFmt numFmtId="19" formatCode="d/mm/yyyy"/>
      <alignment horizontal="left"/>
      <protection locked="0" hidden="0"/>
    </dxf>
    <dxf>
      <font>
        <b val="0"/>
        <i val="0"/>
        <strike val="0"/>
        <condense val="0"/>
        <extend val="0"/>
        <outline val="0"/>
        <shadow val="0"/>
        <u val="none"/>
        <vertAlign val="baseline"/>
        <sz val="10"/>
        <color theme="1"/>
        <name val="Aptos Narrow"/>
        <family val="2"/>
        <scheme val="minor"/>
      </font>
      <numFmt numFmtId="19" formatCode="d/mm/yyyy"/>
      <alignment horizontal="left" vertical="bottom" textRotation="0" wrapText="0" indent="0" justifyLastLine="0" shrinkToFit="0" readingOrder="0"/>
      <protection locked="0" hidden="0"/>
    </dxf>
    <dxf>
      <font>
        <strike val="0"/>
        <outline val="0"/>
        <shadow val="0"/>
        <u val="none"/>
        <vertAlign val="baseline"/>
        <sz val="10"/>
        <color theme="1"/>
        <name val="Aptos Narrow"/>
        <family val="2"/>
        <scheme val="minor"/>
      </font>
      <alignment horizontal="left" vertical="bottom" textRotation="0" wrapText="0" indent="0" justifyLastLine="0" shrinkToFit="0" readingOrder="0"/>
      <protection locked="0" hidden="0"/>
    </dxf>
    <dxf>
      <font>
        <strike val="0"/>
        <outline val="0"/>
        <shadow val="0"/>
        <u val="none"/>
        <vertAlign val="baseline"/>
        <sz val="10"/>
        <color theme="1"/>
        <name val="Aptos Narrow"/>
        <family val="2"/>
        <scheme val="minor"/>
      </font>
      <alignment horizontal="left" vertical="bottom" textRotation="0" wrapText="0" indent="0" justifyLastLine="0" shrinkToFit="0" readingOrder="0"/>
      <protection locked="0" hidden="0"/>
    </dxf>
    <dxf>
      <font>
        <strike val="0"/>
        <outline val="0"/>
        <shadow val="0"/>
        <u val="none"/>
        <vertAlign val="baseline"/>
        <sz val="10"/>
        <color theme="1"/>
        <name val="Aptos Narrow"/>
        <family val="2"/>
        <scheme val="minor"/>
      </font>
      <alignment horizontal="left" vertical="bottom" textRotation="0" wrapText="0" indent="0" justifyLastLine="0" shrinkToFit="0" readingOrder="0"/>
      <protection locked="0" hidden="0"/>
    </dxf>
    <dxf>
      <font>
        <strike val="0"/>
        <outline val="0"/>
        <shadow val="0"/>
        <u val="none"/>
        <vertAlign val="baseline"/>
        <sz val="10"/>
        <color theme="1"/>
        <name val="Aptos Narrow"/>
        <family val="2"/>
        <scheme val="minor"/>
      </font>
      <alignment horizontal="left" vertical="bottom" textRotation="0" wrapText="0" indent="0" justifyLastLine="0" shrinkToFit="0" readingOrder="0"/>
      <protection locked="0" hidden="0"/>
    </dxf>
    <dxf>
      <font>
        <strike val="0"/>
        <outline val="0"/>
        <shadow val="0"/>
        <u val="none"/>
        <vertAlign val="baseline"/>
        <sz val="10"/>
        <color theme="1"/>
        <name val="Aptos Narrow"/>
        <family val="2"/>
        <scheme val="minor"/>
      </font>
      <alignment horizontal="left" vertical="bottom" textRotation="0" wrapText="0" indent="0" justifyLastLine="0" shrinkToFit="0" readingOrder="0"/>
      <protection locked="0" hidden="0"/>
    </dxf>
    <dxf>
      <font>
        <strike val="0"/>
        <outline val="0"/>
        <shadow val="0"/>
        <u val="none"/>
        <vertAlign val="baseline"/>
        <sz val="10"/>
        <color theme="1"/>
        <name val="Aptos Narrow"/>
        <family val="2"/>
        <scheme val="minor"/>
      </font>
      <alignment horizontal="left" vertical="bottom" textRotation="0" wrapText="0" indent="0" justifyLastLine="0" shrinkToFit="0" readingOrder="0"/>
      <protection locked="0" hidden="0"/>
    </dxf>
    <dxf>
      <font>
        <b val="0"/>
        <i val="0"/>
        <strike val="0"/>
        <condense val="0"/>
        <extend val="0"/>
        <outline val="0"/>
        <shadow val="0"/>
        <u val="none"/>
        <vertAlign val="baseline"/>
        <sz val="10"/>
        <color theme="1"/>
        <name val="Aptos Narrow"/>
        <family val="2"/>
        <scheme val="minor"/>
      </font>
      <alignment horizontal="center" vertical="bottom" textRotation="0" wrapText="0" indent="0" justifyLastLine="0" shrinkToFit="0" readingOrder="0"/>
      <protection locked="0" hidden="0"/>
    </dxf>
    <dxf>
      <font>
        <strike val="0"/>
        <outline val="0"/>
        <shadow val="0"/>
        <u val="none"/>
        <vertAlign val="baseline"/>
        <sz val="10"/>
        <color theme="1"/>
        <name val="Aptos Narrow"/>
        <family val="2"/>
        <scheme val="minor"/>
      </font>
      <alignment horizontal="left" vertical="bottom" textRotation="0" wrapText="0" indent="0" justifyLastLine="0" shrinkToFit="0" readingOrder="0"/>
      <border diagonalUp="0" diagonalDown="0">
        <left style="thin">
          <color theme="4"/>
        </left>
        <right/>
        <top style="thin">
          <color theme="4"/>
        </top>
        <bottom/>
        <vertical/>
        <horizontal/>
      </border>
      <protection locked="0" hidden="0"/>
    </dxf>
    <dxf>
      <font>
        <strike val="0"/>
        <outline val="0"/>
        <shadow val="0"/>
        <u val="none"/>
        <vertAlign val="baseline"/>
        <sz val="10"/>
        <color rgb="FF000000"/>
        <name val="Aptos Narrow"/>
        <family val="2"/>
        <scheme val="none"/>
      </font>
      <alignment horizontal="center" vertical="bottom" textRotation="0" wrapText="0" indent="0" justifyLastLine="0" shrinkToFit="0" readingOrder="0"/>
      <protection locked="0" hidden="0"/>
    </dxf>
    <dxf>
      <font>
        <b/>
        <i val="0"/>
        <strike val="0"/>
        <condense val="0"/>
        <extend val="0"/>
        <outline val="0"/>
        <shadow val="0"/>
        <u val="none"/>
        <vertAlign val="baseline"/>
        <sz val="9"/>
        <color theme="1"/>
        <name val="Aptos Narrow"/>
        <family val="2"/>
        <scheme val="minor"/>
      </font>
      <alignment horizontal="general" vertical="center" textRotation="0" indent="0" justifyLastLine="0" shrinkToFit="0" readingOrder="0"/>
      <protection locked="0" hidden="0"/>
    </dxf>
    <dxf>
      <font>
        <strike val="0"/>
        <outline val="0"/>
        <shadow val="0"/>
        <u val="none"/>
        <vertAlign val="baseline"/>
        <sz val="10"/>
        <color theme="1"/>
        <name val="Aptos Narrow"/>
        <family val="2"/>
        <scheme val="minor"/>
      </font>
      <numFmt numFmtId="0" formatCode="General"/>
      <alignment horizontal="center" vertical="bottom" textRotation="0" wrapText="0" indent="0" justifyLastLine="0" shrinkToFit="0" readingOrder="0"/>
    </dxf>
    <dxf>
      <font>
        <strike val="0"/>
        <outline val="0"/>
        <shadow val="0"/>
        <u val="none"/>
        <vertAlign val="baseline"/>
        <sz val="10"/>
        <color theme="1"/>
        <name val="Aptos Narrow"/>
        <family val="2"/>
        <scheme val="minor"/>
      </font>
      <alignment horizontal="center" vertical="bottom" textRotation="0" wrapText="0" indent="0" justifyLastLine="0" shrinkToFit="0" readingOrder="0"/>
    </dxf>
    <dxf>
      <font>
        <strike val="0"/>
        <outline val="0"/>
        <shadow val="0"/>
        <u val="none"/>
        <vertAlign val="baseline"/>
        <sz val="10"/>
        <color theme="1"/>
        <name val="Aptos Narrow"/>
        <family val="2"/>
        <scheme val="minor"/>
      </font>
      <alignment horizontal="left" vertical="bottom" textRotation="0" wrapText="0" indent="0" justifyLastLine="0" shrinkToFit="0" readingOrder="0"/>
      <border>
        <left style="thin">
          <color rgb="FF000000"/>
        </left>
        <right/>
        <top style="thin">
          <color rgb="FF000000"/>
        </top>
        <bottom style="thin">
          <color rgb="FF000000"/>
        </bottom>
        <vertical style="thin">
          <color rgb="FF000000"/>
        </vertical>
        <horizontal style="thin">
          <color rgb="FF000000"/>
        </horizontal>
      </border>
    </dxf>
    <dxf>
      <font>
        <strike val="0"/>
        <outline val="0"/>
        <shadow val="0"/>
        <u val="none"/>
        <vertAlign val="baseline"/>
        <sz val="10"/>
        <color theme="1"/>
        <name val="Aptos Narrow"/>
        <family val="2"/>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ptos Narrow"/>
        <family val="2"/>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extLst>
        <ext xmlns:xfpb="http://schemas.microsoft.com/office/spreadsheetml/2022/featurepropertybag" uri="{0417FA29-78FA-4A13-93AC-8FF0FAFDF519}">
          <xfpb:DXFComplement i="0"/>
        </ext>
      </extLst>
    </dxf>
    <dxf>
      <font>
        <b val="0"/>
        <i val="0"/>
        <strike val="0"/>
        <condense val="0"/>
        <extend val="0"/>
        <outline val="0"/>
        <shadow val="0"/>
        <u val="none"/>
        <vertAlign val="baseline"/>
        <sz val="10"/>
        <color theme="1"/>
        <name val="Aptos Narrow"/>
        <family val="2"/>
        <scheme val="minor"/>
      </font>
      <alignment horizontal="left"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trike val="0"/>
        <outline val="0"/>
        <shadow val="0"/>
        <u val="none"/>
        <vertAlign val="baseline"/>
        <sz val="10"/>
        <color theme="1"/>
        <name val="Aptos Narrow"/>
        <family val="2"/>
        <scheme val="minor"/>
      </font>
      <alignment horizontal="left"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trike val="0"/>
        <outline val="0"/>
        <shadow val="0"/>
        <u val="none"/>
        <vertAlign val="baseline"/>
        <sz val="10"/>
        <color theme="1"/>
        <name val="Aptos Narrow"/>
        <family val="2"/>
        <scheme val="minor"/>
      </font>
      <numFmt numFmtId="19" formatCode="d/mm/yyyy"/>
      <alignment horizontal="left"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ptos Narrow"/>
        <family val="2"/>
        <scheme val="minor"/>
      </font>
      <numFmt numFmtId="19" formatCode="d/mm/yyyy"/>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ptos Narrow"/>
        <family val="2"/>
        <scheme val="minor"/>
      </font>
      <alignment horizontal="left"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trike val="0"/>
        <outline val="0"/>
        <shadow val="0"/>
        <u val="none"/>
        <vertAlign val="baseline"/>
        <sz val="10"/>
        <color theme="1"/>
        <name val="Aptos Narrow"/>
        <family val="2"/>
        <scheme val="minor"/>
      </font>
      <alignment horizontal="left"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trike val="0"/>
        <outline val="0"/>
        <shadow val="0"/>
        <u val="none"/>
        <vertAlign val="baseline"/>
        <sz val="10"/>
        <color theme="1"/>
        <name val="Aptos Narrow"/>
        <family val="2"/>
        <scheme val="minor"/>
      </font>
      <alignment horizontal="left"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trike val="0"/>
        <outline val="0"/>
        <shadow val="0"/>
        <u val="none"/>
        <vertAlign val="baseline"/>
        <sz val="10"/>
        <color theme="1"/>
        <name val="Aptos Narrow"/>
        <family val="2"/>
        <scheme val="minor"/>
      </font>
      <alignment horizontal="left" vertical="bottom" textRotation="0" wrapText="0" indent="0" justifyLastLine="0" shrinkToFit="0" readingOrder="0"/>
      <border outline="0">
        <left style="thin">
          <color rgb="FF000000"/>
        </left>
        <right style="thin">
          <color rgb="FF000000"/>
        </right>
        <top style="thin">
          <color rgb="FF000000"/>
        </top>
        <bottom style="thin">
          <color rgb="FF000000"/>
        </bottom>
      </border>
    </dxf>
    <dxf>
      <font>
        <strike val="0"/>
        <outline val="0"/>
        <shadow val="0"/>
        <u val="none"/>
        <vertAlign val="baseline"/>
        <sz val="10"/>
        <color theme="1"/>
        <name val="Aptos Narrow"/>
        <family val="2"/>
        <scheme val="minor"/>
      </font>
      <alignment horizontal="left" vertical="bottom" textRotation="0" wrapText="0" indent="0" justifyLastLine="0" shrinkToFit="0" readingOrder="0"/>
      <border>
        <left style="thin">
          <color rgb="FF000000"/>
        </left>
        <right style="thin">
          <color rgb="FF000000"/>
        </right>
        <top style="thin">
          <color rgb="FF000000"/>
        </top>
        <bottom style="thin">
          <color rgb="FF000000"/>
        </bottom>
      </border>
    </dxf>
    <dxf>
      <font>
        <strike val="0"/>
        <outline val="0"/>
        <shadow val="0"/>
        <u val="none"/>
        <vertAlign val="baseline"/>
        <sz val="10"/>
        <color theme="1"/>
        <name val="Aptos Narrow"/>
        <family val="2"/>
        <scheme val="minor"/>
      </font>
      <alignment horizontal="left" vertical="bottom" textRotation="0" wrapText="0" indent="0" justifyLastLine="0" shrinkToFit="0" readingOrder="0"/>
      <border outline="0">
        <left style="thin">
          <color rgb="FF000000"/>
        </left>
        <right style="thin">
          <color rgb="FF000000"/>
        </right>
        <top style="thin">
          <color rgb="FF000000"/>
        </top>
        <bottom style="thin">
          <color rgb="FF000000"/>
        </bottom>
      </border>
    </dxf>
    <dxf>
      <font>
        <strike val="0"/>
        <outline val="0"/>
        <shadow val="0"/>
        <u val="none"/>
        <vertAlign val="baseline"/>
        <sz val="10"/>
        <color theme="1"/>
        <name val="Aptos Narrow"/>
        <family val="2"/>
        <scheme val="minor"/>
      </font>
      <alignment horizontal="left" vertical="bottom" textRotation="0" wrapText="1" indent="0" justifyLastLine="0" shrinkToFit="0" readingOrder="0"/>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border outline="0">
        <left style="thin">
          <color rgb="FF000000"/>
        </left>
        <right style="thin">
          <color rgb="FF000000"/>
        </right>
        <top style="thin">
          <color rgb="FF000000"/>
        </top>
        <bottom style="thin">
          <color rgb="FF000000"/>
        </bottom>
      </border>
    </dxf>
    <dxf>
      <font>
        <strike val="0"/>
        <outline val="0"/>
        <shadow val="0"/>
        <u val="none"/>
        <vertAlign val="baseline"/>
        <sz val="10"/>
        <color theme="1"/>
        <name val="Aptos Narrow"/>
        <family val="2"/>
        <scheme val="minor"/>
      </font>
      <alignment horizontal="center" vertical="bottom" textRotation="0" wrapText="0" indent="0" justifyLastLine="0" shrinkToFit="0" readingOrder="0"/>
      <border diagonalUp="0" diagonalDown="0" outline="0">
        <left/>
        <right style="thin">
          <color rgb="FF000000"/>
        </right>
        <top style="thin">
          <color rgb="FF000000"/>
        </top>
        <bottom style="thin">
          <color rgb="FF000000"/>
        </bottom>
      </border>
    </dxf>
    <dxf>
      <font>
        <strike val="0"/>
        <outline val="0"/>
        <shadow val="0"/>
        <u val="none"/>
        <vertAlign val="baseline"/>
        <sz val="10"/>
        <color theme="1"/>
        <name val="Aptos Narrow"/>
        <family val="2"/>
        <scheme val="minor"/>
      </font>
      <alignment horizontal="center" vertical="bottom" textRotation="0" wrapText="0" indent="0" justifyLastLine="0" shrinkToFit="0" readingOrder="0"/>
    </dxf>
    <dxf>
      <font>
        <b/>
        <i val="0"/>
        <strike val="0"/>
        <condense val="0"/>
        <extend val="0"/>
        <outline val="0"/>
        <shadow val="0"/>
        <u val="none"/>
        <vertAlign val="baseline"/>
        <sz val="10"/>
        <color theme="1"/>
        <name val="Aptos Narrow"/>
        <family val="2"/>
        <scheme val="minor"/>
      </font>
      <alignment horizontal="general" vertical="center" textRotation="0" indent="0" justifyLastLine="0" shrinkToFit="0" readingOrder="0"/>
      <border outline="0">
        <left style="thin">
          <color rgb="FF000000"/>
        </left>
        <right style="thin">
          <color rgb="FF000000"/>
        </right>
        <top/>
        <bottom/>
      </border>
    </dxf>
    <dxf>
      <alignment horizontal="left"/>
    </dxf>
    <dxf>
      <alignment horizontal="left"/>
    </dxf>
    <dxf>
      <alignment horizontal="left"/>
    </dxf>
    <dxf>
      <font>
        <b val="0"/>
        <i val="0"/>
        <strike val="0"/>
        <condense val="0"/>
        <extend val="0"/>
        <outline val="0"/>
        <shadow val="0"/>
        <u val="none"/>
        <vertAlign val="baseline"/>
        <sz val="10"/>
        <color theme="1"/>
        <name val="Aptos Narrow"/>
        <family val="2"/>
        <scheme val="minor"/>
      </font>
      <alignment horizontal="left" vertical="center"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border diagonalUp="0" diagonalDown="0">
        <left/>
        <right/>
        <top style="thin">
          <color theme="4"/>
        </top>
        <bottom/>
        <vertical/>
        <horizontal/>
      </border>
      <extLst>
        <ext xmlns:xfpb="http://schemas.microsoft.com/office/spreadsheetml/2022/featurepropertybag" uri="{0417FA29-78FA-4A13-93AC-8FF0FAFDF519}">
          <xfpb:DXFComplement i="0"/>
        </ext>
      </extLst>
    </dxf>
    <dxf>
      <font>
        <b val="0"/>
        <i val="0"/>
        <strike val="0"/>
        <condense val="0"/>
        <extend val="0"/>
        <outline val="0"/>
        <shadow val="0"/>
        <u val="none"/>
        <vertAlign val="baseline"/>
        <sz val="10"/>
        <color theme="1"/>
        <name val="Aptos Narrow"/>
        <family val="2"/>
        <scheme val="minor"/>
      </font>
      <alignment horizontal="left" vertical="bottom"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alignment horizontal="left" vertical="bottom"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numFmt numFmtId="166" formatCode="dd/mm/yyyy"/>
      <alignment horizontal="left" vertical="bottom"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alignment horizontal="left" vertical="bottom"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alignment horizontal="left" vertical="bottom"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alignment horizontal="left" vertical="bottom"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alignment horizontal="left" vertical="bottom"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alignment horizontal="left" vertical="bottom"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alignment horizontal="left" vertical="bottom"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alignment horizontal="left" vertical="bottom"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alignment horizontal="center" vertical="bottom"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alignment horizontal="center" vertical="bottom" textRotation="0" wrapText="0" indent="0" justifyLastLine="0" shrinkToFit="0" readingOrder="0"/>
      <border diagonalUp="0" diagonalDown="0">
        <left/>
        <right/>
        <top style="thin">
          <color theme="4"/>
        </top>
        <bottom/>
        <vertical/>
        <horizontal/>
      </border>
    </dxf>
    <dxf>
      <border outline="0">
        <left style="thin">
          <color theme="4"/>
        </left>
        <right style="thin">
          <color theme="4"/>
        </right>
        <top style="thin">
          <color theme="4"/>
        </top>
        <bottom style="thin">
          <color theme="4"/>
        </bottom>
      </border>
    </dxf>
    <dxf>
      <numFmt numFmtId="167" formatCode="m/d/yyyy"/>
    </dxf>
    <dxf>
      <numFmt numFmtId="167" formatCode="m/d/yyyy"/>
    </dxf>
    <dxf>
      <numFmt numFmtId="167" formatCode="m/d/yyyy"/>
    </dxf>
    <dxf>
      <numFmt numFmtId="167" formatCode="m/d/yyyy"/>
    </dxf>
    <dxf>
      <numFmt numFmtId="167" formatCode="m/d/yyyy"/>
    </dxf>
    <dxf>
      <font>
        <strike val="0"/>
        <outline val="0"/>
        <shadow val="0"/>
        <u val="none"/>
        <vertAlign val="baseline"/>
        <sz val="10"/>
        <color rgb="FF000000"/>
        <name val="Aptos Narrow"/>
        <family val="2"/>
        <scheme val="none"/>
      </font>
      <numFmt numFmtId="0" formatCode="General"/>
      <alignment horizontal="general" vertical="top" textRotation="0" wrapText="0" indent="0" justifyLastLine="0" shrinkToFit="0" readingOrder="0"/>
    </dxf>
    <dxf>
      <font>
        <strike val="0"/>
        <outline val="0"/>
        <shadow val="0"/>
        <u val="none"/>
        <vertAlign val="baseline"/>
        <sz val="10"/>
        <color rgb="FF000000"/>
        <name val="Aptos Narrow"/>
        <family val="2"/>
        <scheme val="none"/>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rgb="FF000000"/>
        <name val="Aptos Narrow"/>
        <family val="2"/>
        <scheme val="none"/>
      </font>
      <fill>
        <patternFill patternType="none">
          <fgColor indexed="64"/>
          <bgColor indexed="65"/>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rgb="FF156082"/>
        </bottom>
      </border>
    </dxf>
    <dxf>
      <font>
        <b val="0"/>
        <i val="0"/>
        <strike val="0"/>
        <condense val="0"/>
        <extend val="0"/>
        <outline val="0"/>
        <shadow val="0"/>
        <u val="none"/>
        <vertAlign val="baseline"/>
        <sz val="10"/>
        <color rgb="FF000000"/>
        <name val="Aptos Narrow"/>
        <family val="2"/>
        <scheme val="none"/>
      </font>
      <fill>
        <patternFill patternType="none">
          <fgColor indexed="64"/>
          <bgColor indexed="65"/>
        </patternFill>
      </fill>
      <alignment horizontal="general" vertical="top" textRotation="0" wrapText="0" indent="0" justifyLastLine="0" shrinkToFit="0" readingOrder="0"/>
      <border diagonalUp="0" diagonalDown="0" outline="0">
        <left style="thin">
          <color rgb="FF000000"/>
        </left>
        <right style="thin">
          <color indexed="64"/>
        </right>
        <top style="thin">
          <color indexed="64"/>
        </top>
        <bottom style="thin">
          <color rgb="FF156082"/>
        </bottom>
      </border>
    </dxf>
    <dxf>
      <font>
        <b val="0"/>
        <i val="0"/>
        <strike val="0"/>
        <condense val="0"/>
        <extend val="0"/>
        <outline val="0"/>
        <shadow val="0"/>
        <u val="none"/>
        <vertAlign val="baseline"/>
        <sz val="10"/>
        <color rgb="FF000000"/>
        <name val="Aptos Narrow"/>
        <family val="2"/>
        <scheme val="none"/>
      </font>
      <fill>
        <patternFill patternType="none">
          <fgColor indexed="64"/>
          <bgColor indexed="65"/>
        </patternFill>
      </fill>
      <alignment horizontal="general" vertical="top"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extLst>
        <ext xmlns:xfpb="http://schemas.microsoft.com/office/spreadsheetml/2022/featurepropertybag" uri="{0417FA29-78FA-4A13-93AC-8FF0FAFDF519}">
          <xfpb:DXFComplement i="0"/>
        </ext>
      </extLst>
    </dxf>
    <dxf>
      <font>
        <sz val="10"/>
        <color rgb="FF000000"/>
      </font>
      <fill>
        <patternFill patternType="none">
          <fgColor indexed="64"/>
          <bgColor indexed="65"/>
        </patternFill>
      </fill>
      <alignment horizontal="general" vertical="top" textRotation="0" wrapText="0" indent="0" justifyLastLine="0" shrinkToFit="0" readingOrder="0"/>
      <border diagonalUp="0" diagonalDown="0" outline="0">
        <left style="thin">
          <color indexed="64"/>
        </left>
        <right style="thin">
          <color rgb="FF000000"/>
        </right>
        <top style="thin">
          <color indexed="64"/>
        </top>
        <bottom style="thin">
          <color rgb="FF156082"/>
        </bottom>
      </border>
    </dxf>
    <dxf>
      <alignment horizontal="general" vertical="top" textRotation="0" wrapText="0" indent="0" justifyLastLine="0" shrinkToFit="0" readingOrder="0"/>
    </dxf>
    <dxf>
      <alignment horizontal="left" vertical="top" textRotation="0" wrapText="0" indent="0" justifyLastLine="0" shrinkToFit="0" readingOrder="0"/>
    </dxf>
    <dxf>
      <font>
        <b val="0"/>
        <i val="0"/>
        <strike val="0"/>
        <condense val="0"/>
        <extend val="0"/>
        <outline val="0"/>
        <shadow val="0"/>
        <u val="none"/>
        <vertAlign val="baseline"/>
        <sz val="10"/>
        <color rgb="FF000000"/>
        <name val="Aptos Narrow"/>
        <family val="2"/>
        <scheme val="none"/>
      </font>
      <numFmt numFmtId="19" formatCode="d/mm/yyyy"/>
      <alignment horizontal="left" vertical="top" textRotation="0" wrapText="0" indent="0" justifyLastLine="0" shrinkToFit="0" readingOrder="0"/>
    </dxf>
    <dxf>
      <font>
        <sz val="10"/>
        <color rgb="FF000000"/>
      </font>
      <numFmt numFmtId="19" formatCode="d/mm/yyyy"/>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left" vertical="top" textRotation="0" wrapText="1" indent="0" justifyLastLine="0" shrinkToFit="0" readingOrder="0"/>
    </dxf>
    <dxf>
      <alignment horizontal="general" vertical="top" textRotation="0" wrapText="0" indent="0" justifyLastLine="0" shrinkToFit="0" readingOrder="0"/>
    </dxf>
    <dxf>
      <alignment horizontal="center" vertical="top" textRotation="0" wrapText="0" indent="0" justifyLastLine="0" shrinkToFit="0" readingOrder="0"/>
    </dxf>
    <dxf>
      <alignment horizontal="left" vertical="top" textRotation="0" wrapText="1" indent="0" justifyLastLine="0" shrinkToFit="0" readingOrder="0"/>
    </dxf>
    <dxf>
      <alignment horizontal="left" vertical="top" textRotation="0" wrapText="0" indent="0" justifyLastLine="0" shrinkToFit="0" readingOrder="0"/>
    </dxf>
    <dxf>
      <font>
        <strike val="0"/>
        <outline val="0"/>
        <shadow val="0"/>
        <u val="none"/>
        <vertAlign val="baseline"/>
        <sz val="10"/>
        <color rgb="FF000000"/>
        <name val="Aptos Narrow"/>
        <family val="2"/>
        <scheme val="none"/>
      </font>
      <alignment horizontal="general" vertical="top" textRotation="0" wrapText="0" indent="0" justifyLastLine="0" shrinkToFit="0" readingOrder="0"/>
    </dxf>
    <dxf>
      <font>
        <b/>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strike val="0"/>
        <outline val="0"/>
        <shadow val="0"/>
        <u val="none"/>
        <vertAlign val="baseline"/>
        <sz val="10"/>
        <color rgb="FF000000"/>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0"/>
        <color rgb="FF000000"/>
        <name val="Aptos Narrow"/>
        <family val="2"/>
        <scheme val="none"/>
      </font>
      <alignment horizontal="center" vertical="bottom" textRotation="0" wrapText="0" indent="0" justifyLastLine="0" shrinkToFit="0" readingOrder="0"/>
    </dxf>
    <dxf>
      <font>
        <strike val="0"/>
        <outline val="0"/>
        <shadow val="0"/>
        <u val="none"/>
        <vertAlign val="baseline"/>
        <sz val="10"/>
        <color rgb="FF000000"/>
        <name val="Aptos Narrow"/>
        <family val="2"/>
        <scheme val="none"/>
      </font>
      <alignment horizontal="center" vertical="bottom" textRotation="0" wrapText="0" indent="0" justifyLastLine="0" shrinkToFit="0" readingOrder="0"/>
    </dxf>
    <dxf>
      <font>
        <strike val="0"/>
        <outline val="0"/>
        <shadow val="0"/>
        <u val="none"/>
        <vertAlign val="baseline"/>
        <sz val="10"/>
        <color theme="1"/>
        <name val="Aptos Narrow"/>
        <family val="2"/>
        <scheme val="minor"/>
      </font>
      <alignment horizontal="left" vertical="center" textRotation="0" wrapText="0" indent="0" justifyLastLine="0" shrinkToFit="0" readingOrder="0"/>
    </dxf>
    <dxf>
      <font>
        <b val="0"/>
        <i val="0"/>
        <strike val="0"/>
        <condense val="0"/>
        <extend val="0"/>
        <outline val="0"/>
        <shadow val="0"/>
        <u val="none"/>
        <vertAlign val="baseline"/>
        <sz val="10"/>
        <color theme="1"/>
        <name val="Aptos Narrow"/>
        <family val="2"/>
        <scheme val="minor"/>
      </font>
      <alignment horizontal="general" vertical="bottom" textRotation="0" wrapText="0" indent="0" justifyLastLine="0" shrinkToFit="0" readingOrder="0"/>
      <border diagonalUp="0" diagonalDown="0">
        <left style="thin">
          <color theme="4"/>
        </left>
        <right style="thin">
          <color theme="4"/>
        </right>
        <top style="thin">
          <color theme="4"/>
        </top>
        <bottom style="thin">
          <color theme="4"/>
        </bottom>
        <vertical/>
        <horizontal/>
      </border>
      <extLst>
        <ext xmlns:xfpb="http://schemas.microsoft.com/office/spreadsheetml/2022/featurepropertybag" uri="{0417FA29-78FA-4A13-93AC-8FF0FAFDF519}">
          <xfpb:DXFComplement i="0"/>
        </ext>
      </extLst>
    </dxf>
    <dxf>
      <font>
        <b val="0"/>
        <i val="0"/>
        <strike val="0"/>
        <condense val="0"/>
        <extend val="0"/>
        <outline val="0"/>
        <shadow val="0"/>
        <u val="none"/>
        <vertAlign val="baseline"/>
        <sz val="10"/>
        <color theme="1"/>
        <name val="Aptos Narrow"/>
        <family val="2"/>
        <scheme val="minor"/>
      </font>
      <alignment horizontal="left" vertical="bottom" textRotation="0" wrapText="0" indent="0" justifyLastLine="0" shrinkToFit="0" readingOrder="0"/>
    </dxf>
    <dxf>
      <font>
        <strike val="0"/>
        <outline val="0"/>
        <shadow val="0"/>
        <u val="none"/>
        <vertAlign val="baseline"/>
        <sz val="10"/>
        <color theme="1"/>
        <name val="Aptos Narrow"/>
        <family val="2"/>
        <scheme val="minor"/>
      </font>
      <alignment horizontal="left" vertical="bottom" textRotation="0" wrapText="0" indent="0" justifyLastLine="0" shrinkToFit="0" readingOrder="0"/>
    </dxf>
    <dxf>
      <font>
        <strike val="0"/>
        <outline val="0"/>
        <shadow val="0"/>
        <u val="none"/>
        <vertAlign val="baseline"/>
        <sz val="10"/>
        <color theme="1"/>
        <name val="Aptos Narrow"/>
        <family val="2"/>
        <scheme val="minor"/>
      </font>
      <numFmt numFmtId="164" formatCode="mm/dd/yy;@"/>
      <alignment horizontal="left" vertical="bottom" textRotation="0" wrapText="0" indent="0" justifyLastLine="0" shrinkToFit="0" readingOrder="0"/>
    </dxf>
    <dxf>
      <font>
        <b val="0"/>
        <i val="0"/>
        <strike val="0"/>
        <condense val="0"/>
        <extend val="0"/>
        <outline val="0"/>
        <shadow val="0"/>
        <u val="none"/>
        <vertAlign val="baseline"/>
        <sz val="10"/>
        <color theme="1"/>
        <name val="Aptos Narrow"/>
        <family val="2"/>
        <scheme val="minor"/>
      </font>
      <numFmt numFmtId="164" formatCode="mm/dd/yy;@"/>
      <alignment horizontal="left" vertical="bottom" textRotation="0" wrapText="0" indent="0" justifyLastLine="0" shrinkToFit="0" readingOrder="0"/>
    </dxf>
    <dxf>
      <font>
        <b val="0"/>
        <i val="0"/>
        <strike val="0"/>
        <condense val="0"/>
        <extend val="0"/>
        <outline val="0"/>
        <shadow val="0"/>
        <u val="none"/>
        <vertAlign val="baseline"/>
        <sz val="10"/>
        <color theme="1"/>
        <name val="Aptos Narrow"/>
        <family val="2"/>
        <scheme val="minor"/>
      </font>
      <numFmt numFmtId="164" formatCode="mm/dd/yy;@"/>
      <alignment horizontal="left" vertical="bottom" textRotation="0" wrapText="0" indent="0" justifyLastLine="0" shrinkToFit="0" readingOrder="0"/>
    </dxf>
    <dxf>
      <font>
        <strike val="0"/>
        <outline val="0"/>
        <shadow val="0"/>
        <u val="none"/>
        <vertAlign val="baseline"/>
        <sz val="10"/>
        <color theme="1"/>
        <name val="Aptos Narrow"/>
        <family val="2"/>
        <scheme val="minor"/>
      </font>
      <alignment horizontal="left" vertical="bottom" textRotation="0" wrapText="0" indent="0" justifyLastLine="0" shrinkToFit="0" readingOrder="0"/>
    </dxf>
    <dxf>
      <font>
        <strike val="0"/>
        <outline val="0"/>
        <shadow val="0"/>
        <u val="none"/>
        <vertAlign val="baseline"/>
        <sz val="10"/>
        <color theme="1"/>
        <name val="Aptos Narrow"/>
        <family val="2"/>
        <scheme val="minor"/>
      </font>
      <alignment horizontal="left" vertical="bottom" textRotation="0" wrapText="0" indent="0" justifyLastLine="0" shrinkToFit="0" readingOrder="0"/>
    </dxf>
    <dxf>
      <font>
        <strike val="0"/>
        <outline val="0"/>
        <shadow val="0"/>
        <u val="none"/>
        <vertAlign val="baseline"/>
        <sz val="10"/>
        <color theme="1"/>
        <name val="Aptos Narrow"/>
        <family val="2"/>
        <scheme val="minor"/>
      </font>
      <alignment horizontal="left" vertical="bottom" textRotation="0" wrapText="0" indent="0" justifyLastLine="0" shrinkToFit="0" readingOrder="0"/>
    </dxf>
    <dxf>
      <font>
        <strike val="0"/>
        <outline val="0"/>
        <shadow val="0"/>
        <u val="none"/>
        <vertAlign val="baseline"/>
        <sz val="10"/>
        <color theme="1"/>
        <name val="Aptos Narrow"/>
        <family val="2"/>
        <scheme val="minor"/>
      </font>
      <alignment horizontal="left" vertical="bottom" textRotation="0" wrapText="0" indent="0" justifyLastLine="0" shrinkToFit="0" readingOrder="0"/>
    </dxf>
    <dxf>
      <font>
        <strike val="0"/>
        <outline val="0"/>
        <shadow val="0"/>
        <u val="none"/>
        <vertAlign val="baseline"/>
        <sz val="10"/>
        <color theme="1"/>
        <name val="Aptos Narrow"/>
        <family val="2"/>
        <scheme val="minor"/>
      </font>
      <alignment horizontal="left" vertical="bottom" textRotation="0" wrapText="0" indent="0" justifyLastLine="0" shrinkToFit="0" readingOrder="0"/>
    </dxf>
    <dxf>
      <font>
        <strike val="0"/>
        <outline val="0"/>
        <shadow val="0"/>
        <u val="none"/>
        <vertAlign val="baseline"/>
        <sz val="10"/>
        <color theme="1"/>
        <name val="Aptos Narrow"/>
        <family val="2"/>
        <scheme val="minor"/>
      </font>
      <alignment horizontal="left" vertical="bottom" textRotation="0" wrapText="0" indent="0" justifyLastLine="0" shrinkToFit="0" readingOrder="0"/>
    </dxf>
    <dxf>
      <font>
        <b val="0"/>
        <i val="0"/>
        <strike val="0"/>
        <condense val="0"/>
        <extend val="0"/>
        <outline val="0"/>
        <shadow val="0"/>
        <u val="none"/>
        <vertAlign val="baseline"/>
        <sz val="10"/>
        <color theme="1"/>
        <name val="Aptos Narrow"/>
        <family val="2"/>
        <scheme val="minor"/>
      </font>
      <alignment horizontal="center" vertical="bottom" textRotation="0" wrapText="0" indent="0" justifyLastLine="0" shrinkToFit="0" readingOrder="0"/>
    </dxf>
    <dxf>
      <font>
        <strike val="0"/>
        <outline val="0"/>
        <shadow val="0"/>
        <u val="none"/>
        <vertAlign val="baseline"/>
        <sz val="10"/>
        <color theme="1"/>
        <name val="Aptos Narrow"/>
        <family val="2"/>
        <scheme val="minor"/>
      </font>
      <alignment horizontal="center" vertical="bottom" textRotation="0" wrapText="0" indent="0" justifyLastLine="0" shrinkToFit="0" readingOrder="0"/>
      <border diagonalUp="0" diagonalDown="0">
        <left style="thin">
          <color theme="4"/>
        </left>
        <right/>
        <top style="thin">
          <color theme="4"/>
        </top>
        <bottom/>
        <vertical/>
        <horizontal/>
      </border>
    </dxf>
    <dxf>
      <font>
        <strike val="0"/>
        <outline val="0"/>
        <shadow val="0"/>
        <u val="none"/>
        <vertAlign val="baseline"/>
        <sz val="10"/>
        <color rgb="FF000000"/>
        <name val="Aptos Narrow"/>
        <family val="2"/>
        <scheme val="none"/>
      </font>
      <alignment horizontal="center" vertical="bottom" textRotation="0" wrapText="0" indent="0" justifyLastLine="0" shrinkToFit="0" readingOrder="0"/>
    </dxf>
    <dxf>
      <font>
        <b/>
        <i val="0"/>
        <strike val="0"/>
        <condense val="0"/>
        <extend val="0"/>
        <outline val="0"/>
        <shadow val="0"/>
        <u val="none"/>
        <vertAlign val="baseline"/>
        <sz val="9"/>
        <color theme="1"/>
        <name val="Aptos Narrow"/>
        <family val="2"/>
        <scheme val="minor"/>
      </font>
      <alignment horizontal="general" vertical="center" textRotation="0" indent="0" justifyLastLine="0" shrinkToFit="0" readingOrder="0"/>
    </dxf>
    <dxf>
      <font>
        <strike val="0"/>
        <outline val="0"/>
        <shadow val="0"/>
        <u val="none"/>
        <vertAlign val="baseline"/>
        <sz val="10"/>
        <color rgb="FF000000"/>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0"/>
        <color rgb="FF000000"/>
        <name val="Aptos Narrow"/>
        <family val="2"/>
        <scheme val="none"/>
      </font>
      <alignment horizontal="center" vertical="bottom" textRotation="0" wrapText="0" indent="0" justifyLastLine="0" shrinkToFit="0" readingOrder="0"/>
    </dxf>
    <dxf>
      <font>
        <strike val="0"/>
        <outline val="0"/>
        <shadow val="0"/>
        <u val="none"/>
        <vertAlign val="baseline"/>
        <sz val="10"/>
        <color rgb="FF000000"/>
        <name val="Aptos Narrow"/>
        <family val="2"/>
        <scheme val="none"/>
      </font>
      <alignment horizontal="center" vertical="bottom" textRotation="0" wrapText="0" indent="0" justifyLastLine="0" shrinkToFit="0" readingOrder="0"/>
    </dxf>
    <dxf>
      <font>
        <strike val="0"/>
        <outline val="0"/>
        <shadow val="0"/>
        <u val="none"/>
        <vertAlign val="baseline"/>
        <sz val="10"/>
        <color theme="1"/>
        <name val="Aptos Narrow"/>
        <family val="2"/>
        <scheme val="minor"/>
      </font>
      <alignment horizontal="left" vertical="center" textRotation="0" wrapText="0" indent="0" justifyLastLine="0" shrinkToFit="0" readingOrder="0"/>
    </dxf>
    <dxf>
      <font>
        <b val="0"/>
        <i val="0"/>
        <strike val="0"/>
        <condense val="0"/>
        <extend val="0"/>
        <outline val="0"/>
        <shadow val="0"/>
        <u val="none"/>
        <vertAlign val="baseline"/>
        <sz val="10"/>
        <color theme="1"/>
        <name val="Aptos Narrow"/>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Aptos Narrow"/>
        <family val="2"/>
        <scheme val="minor"/>
      </font>
      <alignment horizontal="left" vertical="bottom" textRotation="0" wrapText="0" indent="0" justifyLastLine="0" shrinkToFit="0" readingOrder="0"/>
    </dxf>
    <dxf>
      <font>
        <strike val="0"/>
        <outline val="0"/>
        <shadow val="0"/>
        <u val="none"/>
        <vertAlign val="baseline"/>
        <sz val="10"/>
        <color theme="1"/>
        <name val="Aptos Narrow"/>
        <family val="2"/>
        <scheme val="minor"/>
      </font>
      <alignment horizontal="left" vertical="bottom" textRotation="0" wrapText="0" indent="0" justifyLastLine="0" shrinkToFit="0" readingOrder="0"/>
    </dxf>
    <dxf>
      <font>
        <strike val="0"/>
        <outline val="0"/>
        <shadow val="0"/>
        <u val="none"/>
        <vertAlign val="baseline"/>
        <sz val="10"/>
        <color theme="1"/>
        <name val="Aptos Narrow"/>
        <family val="2"/>
        <scheme val="minor"/>
      </font>
      <numFmt numFmtId="19" formatCode="d/mm/yyyy"/>
      <alignment horizontal="center" vertical="bottom" textRotation="0" wrapText="0" indent="0" justifyLastLine="0" shrinkToFit="0" readingOrder="0"/>
    </dxf>
    <dxf>
      <font>
        <b val="0"/>
        <i val="0"/>
        <strike val="0"/>
        <condense val="0"/>
        <extend val="0"/>
        <outline val="0"/>
        <shadow val="0"/>
        <u val="none"/>
        <vertAlign val="baseline"/>
        <sz val="10"/>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Aptos Narrow"/>
        <family val="2"/>
        <scheme val="minor"/>
      </font>
      <fill>
        <patternFill patternType="solid">
          <fgColor indexed="64"/>
          <bgColor theme="9" tint="0.79998168889431442"/>
        </patternFill>
      </fill>
      <alignment horizontal="center" vertical="bottom" textRotation="0" wrapText="0" indent="0" justifyLastLine="0" shrinkToFit="0" readingOrder="0"/>
    </dxf>
    <dxf>
      <font>
        <strike val="0"/>
        <outline val="0"/>
        <shadow val="0"/>
        <u val="none"/>
        <vertAlign val="baseline"/>
        <sz val="10"/>
        <color theme="1"/>
        <name val="Aptos Narrow"/>
        <family val="2"/>
        <scheme val="minor"/>
      </font>
      <alignment horizontal="left" vertical="bottom" textRotation="0" wrapText="0" indent="0" justifyLastLine="0" shrinkToFit="0" readingOrder="0"/>
    </dxf>
    <dxf>
      <font>
        <strike val="0"/>
        <outline val="0"/>
        <shadow val="0"/>
        <u val="none"/>
        <vertAlign val="baseline"/>
        <sz val="10"/>
        <color theme="1"/>
        <name val="Aptos Narrow"/>
        <family val="2"/>
        <scheme val="minor"/>
      </font>
      <alignment horizontal="left" vertical="bottom" textRotation="0" wrapText="0" indent="0" justifyLastLine="0" shrinkToFit="0" readingOrder="0"/>
    </dxf>
    <dxf>
      <font>
        <strike val="0"/>
        <outline val="0"/>
        <shadow val="0"/>
        <u val="none"/>
        <vertAlign val="baseline"/>
        <sz val="10"/>
        <color theme="1"/>
        <name val="Aptos Narrow"/>
        <family val="2"/>
        <scheme val="minor"/>
      </font>
      <alignment horizontal="left" vertical="bottom" textRotation="0" wrapText="0" indent="0" justifyLastLine="0" shrinkToFit="0" readingOrder="0"/>
    </dxf>
    <dxf>
      <font>
        <strike val="0"/>
        <outline val="0"/>
        <shadow val="0"/>
        <u val="none"/>
        <vertAlign val="baseline"/>
        <sz val="10"/>
        <color theme="1"/>
        <name val="Aptos Narrow"/>
        <family val="2"/>
        <scheme val="minor"/>
      </font>
      <alignment horizontal="left" vertical="bottom" textRotation="0" wrapText="0" indent="0" justifyLastLine="0" shrinkToFit="0" readingOrder="0"/>
    </dxf>
    <dxf>
      <font>
        <strike val="0"/>
        <outline val="0"/>
        <shadow val="0"/>
        <u val="none"/>
        <vertAlign val="baseline"/>
        <sz val="10"/>
        <color theme="1"/>
        <name val="Aptos Narrow"/>
        <family val="2"/>
        <scheme val="minor"/>
      </font>
      <alignment horizontal="left" vertical="bottom" textRotation="0" wrapText="0" indent="0" justifyLastLine="0" shrinkToFit="0" readingOrder="0"/>
    </dxf>
    <dxf>
      <font>
        <strike val="0"/>
        <outline val="0"/>
        <shadow val="0"/>
        <u val="none"/>
        <vertAlign val="baseline"/>
        <sz val="10"/>
        <color theme="1"/>
        <name val="Aptos Narrow"/>
        <family val="2"/>
        <scheme val="minor"/>
      </font>
      <alignment horizontal="left" vertical="bottom" textRotation="0" wrapText="0" indent="0" justifyLastLine="0" shrinkToFit="0" readingOrder="0"/>
    </dxf>
    <dxf>
      <font>
        <b val="0"/>
        <i val="0"/>
        <strike val="0"/>
        <condense val="0"/>
        <extend val="0"/>
        <outline val="0"/>
        <shadow val="0"/>
        <u val="none"/>
        <vertAlign val="baseline"/>
        <sz val="10"/>
        <color theme="1"/>
        <name val="Aptos Narrow"/>
        <family val="2"/>
        <scheme val="minor"/>
      </font>
      <alignment horizontal="center" vertical="bottom" textRotation="0" wrapText="0" indent="0" justifyLastLine="0" shrinkToFit="0" readingOrder="0"/>
    </dxf>
    <dxf>
      <font>
        <strike val="0"/>
        <outline val="0"/>
        <shadow val="0"/>
        <u val="none"/>
        <vertAlign val="baseline"/>
        <sz val="10"/>
        <color theme="1"/>
        <name val="Aptos Narrow"/>
        <family val="2"/>
        <scheme val="minor"/>
      </font>
      <alignment horizontal="center" vertical="bottom" textRotation="0" wrapText="0" indent="0" justifyLastLine="0" shrinkToFit="0" readingOrder="0"/>
      <border diagonalUp="0" diagonalDown="0">
        <left style="thin">
          <color theme="4"/>
        </left>
        <right/>
        <top style="thin">
          <color theme="4"/>
        </top>
        <bottom/>
        <vertical/>
        <horizontal/>
      </border>
    </dxf>
    <dxf>
      <font>
        <strike val="0"/>
        <outline val="0"/>
        <shadow val="0"/>
        <u val="none"/>
        <vertAlign val="baseline"/>
        <sz val="10"/>
        <color rgb="FF000000"/>
        <name val="Aptos Narrow"/>
        <family val="2"/>
        <scheme val="none"/>
      </font>
      <alignment horizontal="center" vertical="bottom" textRotation="0" wrapText="0" indent="0" justifyLastLine="0" shrinkToFit="0" readingOrder="0"/>
    </dxf>
    <dxf>
      <font>
        <b/>
        <i val="0"/>
        <strike val="0"/>
        <condense val="0"/>
        <extend val="0"/>
        <outline val="0"/>
        <shadow val="0"/>
        <u val="none"/>
        <vertAlign val="baseline"/>
        <sz val="9"/>
        <color theme="1"/>
        <name val="Aptos Narrow"/>
        <family val="2"/>
        <scheme val="minor"/>
      </font>
      <alignment horizontal="general" vertical="center" textRotation="0" indent="0" justifyLastLine="0" shrinkToFit="0" readingOrder="0"/>
    </dxf>
    <dxf>
      <font>
        <strike val="0"/>
        <outline val="0"/>
        <shadow val="0"/>
        <u val="none"/>
        <vertAlign val="baseline"/>
        <sz val="10"/>
        <color rgb="FF000000"/>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0"/>
        <color rgb="FF000000"/>
        <name val="Aptos Narrow"/>
        <family val="2"/>
        <scheme val="none"/>
      </font>
      <alignment horizontal="center" vertical="bottom" textRotation="0" wrapText="0" indent="0" justifyLastLine="0" shrinkToFit="0" readingOrder="0"/>
    </dxf>
    <dxf>
      <font>
        <strike val="0"/>
        <outline val="0"/>
        <shadow val="0"/>
        <u val="none"/>
        <vertAlign val="baseline"/>
        <sz val="10"/>
        <color rgb="FF000000"/>
        <name val="Aptos Narrow"/>
        <family val="2"/>
        <scheme val="none"/>
      </font>
      <alignment horizontal="center" vertical="bottom" textRotation="0" wrapText="0" indent="0" justifyLastLine="0" shrinkToFit="0" readingOrder="0"/>
    </dxf>
    <dxf>
      <font>
        <strike val="0"/>
        <outline val="0"/>
        <shadow val="0"/>
        <u val="none"/>
        <vertAlign val="baseline"/>
        <sz val="10"/>
        <color theme="1"/>
        <name val="Aptos Narrow"/>
        <family val="2"/>
        <scheme val="minor"/>
      </font>
      <alignment horizontal="left" vertical="center" textRotation="0" wrapText="0" indent="0" justifyLastLine="0" shrinkToFit="0" readingOrder="0"/>
    </dxf>
    <dxf>
      <font>
        <b val="0"/>
        <i val="0"/>
        <strike val="0"/>
        <condense val="0"/>
        <extend val="0"/>
        <outline val="0"/>
        <shadow val="0"/>
        <u val="none"/>
        <vertAlign val="baseline"/>
        <sz val="10"/>
        <color theme="1"/>
        <name val="Aptos Narrow"/>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Aptos Narrow"/>
        <family val="2"/>
        <scheme val="minor"/>
      </font>
      <alignment horizontal="left" vertical="bottom" textRotation="0" wrapText="0" indent="0" justifyLastLine="0" shrinkToFit="0" readingOrder="0"/>
    </dxf>
    <dxf>
      <font>
        <strike val="0"/>
        <outline val="0"/>
        <shadow val="0"/>
        <u val="none"/>
        <vertAlign val="baseline"/>
        <sz val="10"/>
        <color theme="1"/>
        <name val="Aptos Narrow"/>
        <family val="2"/>
        <scheme val="minor"/>
      </font>
      <alignment horizontal="left" vertical="bottom" textRotation="0" wrapText="0" indent="0" justifyLastLine="0" shrinkToFit="0" readingOrder="0"/>
    </dxf>
    <dxf>
      <font>
        <strike val="0"/>
        <outline val="0"/>
        <shadow val="0"/>
        <u val="none"/>
        <vertAlign val="baseline"/>
        <sz val="10"/>
        <color theme="1"/>
        <name val="Aptos Narrow"/>
        <family val="2"/>
        <scheme val="minor"/>
      </font>
      <numFmt numFmtId="19" formatCode="d/mm/yyyy"/>
      <alignment horizontal="left" vertical="bottom" textRotation="0" wrapText="0" indent="0" justifyLastLine="0" shrinkToFit="0" readingOrder="0"/>
    </dxf>
    <dxf>
      <font>
        <b val="0"/>
        <i val="0"/>
        <strike val="0"/>
        <condense val="0"/>
        <extend val="0"/>
        <outline val="0"/>
        <shadow val="0"/>
        <u val="none"/>
        <vertAlign val="baseline"/>
        <sz val="10"/>
        <color theme="1"/>
        <name val="Aptos Narrow"/>
        <family val="2"/>
        <scheme val="minor"/>
      </font>
      <numFmt numFmtId="19" formatCode="d/mm/yyyy"/>
      <alignment horizontal="left" vertical="bottom" textRotation="0" wrapText="0" indent="0" justifyLastLine="0" shrinkToFit="0" readingOrder="0"/>
    </dxf>
    <dxf>
      <font>
        <b val="0"/>
        <i val="0"/>
        <strike val="0"/>
        <condense val="0"/>
        <extend val="0"/>
        <outline val="0"/>
        <shadow val="0"/>
        <u val="none"/>
        <vertAlign val="baseline"/>
        <sz val="10"/>
        <color theme="1"/>
        <name val="Aptos Narrow"/>
        <family val="2"/>
        <scheme val="minor"/>
      </font>
      <alignment horizontal="left" vertical="bottom" textRotation="0" wrapText="0" indent="0" justifyLastLine="0" shrinkToFit="0" readingOrder="0"/>
    </dxf>
    <dxf>
      <font>
        <strike val="0"/>
        <outline val="0"/>
        <shadow val="0"/>
        <u val="none"/>
        <vertAlign val="baseline"/>
        <sz val="10"/>
        <color theme="1"/>
        <name val="Aptos Narrow"/>
        <family val="2"/>
        <scheme val="minor"/>
      </font>
      <alignment horizontal="left" vertical="bottom" textRotation="0" wrapText="0" indent="0" justifyLastLine="0" shrinkToFit="0" readingOrder="0"/>
    </dxf>
    <dxf>
      <font>
        <strike val="0"/>
        <outline val="0"/>
        <shadow val="0"/>
        <u val="none"/>
        <vertAlign val="baseline"/>
        <sz val="10"/>
        <color theme="1"/>
        <name val="Aptos Narrow"/>
        <family val="2"/>
        <scheme val="minor"/>
      </font>
      <alignment horizontal="left" vertical="bottom" textRotation="0" wrapText="0" indent="0" justifyLastLine="0" shrinkToFit="0" readingOrder="0"/>
    </dxf>
    <dxf>
      <font>
        <strike val="0"/>
        <outline val="0"/>
        <shadow val="0"/>
        <u val="none"/>
        <vertAlign val="baseline"/>
        <sz val="10"/>
        <color theme="1"/>
        <name val="Aptos Narrow"/>
        <family val="2"/>
        <scheme val="minor"/>
      </font>
      <alignment horizontal="left" vertical="bottom" textRotation="0" wrapText="0" indent="0" justifyLastLine="0" shrinkToFit="0" readingOrder="0"/>
    </dxf>
    <dxf>
      <font>
        <strike val="0"/>
        <outline val="0"/>
        <shadow val="0"/>
        <u val="none"/>
        <vertAlign val="baseline"/>
        <sz val="10"/>
        <color theme="1"/>
        <name val="Aptos Narrow"/>
        <family val="2"/>
        <scheme val="minor"/>
      </font>
      <alignment horizontal="left" vertical="bottom" textRotation="0" wrapText="0" indent="0" justifyLastLine="0" shrinkToFit="0" readingOrder="0"/>
    </dxf>
    <dxf>
      <font>
        <strike val="0"/>
        <outline val="0"/>
        <shadow val="0"/>
        <u val="none"/>
        <vertAlign val="baseline"/>
        <sz val="10"/>
        <color theme="1"/>
        <name val="Aptos Narrow"/>
        <family val="2"/>
        <scheme val="minor"/>
      </font>
      <alignment horizontal="left" vertical="bottom" textRotation="0" wrapText="0" indent="0" justifyLastLine="0" shrinkToFit="0" readingOrder="0"/>
    </dxf>
    <dxf>
      <font>
        <strike val="0"/>
        <outline val="0"/>
        <shadow val="0"/>
        <u val="none"/>
        <vertAlign val="baseline"/>
        <sz val="10"/>
        <color theme="1"/>
        <name val="Aptos Narrow"/>
        <family val="2"/>
        <scheme val="minor"/>
      </font>
      <alignment horizontal="left" vertical="bottom" textRotation="0" wrapText="0" indent="0" justifyLastLine="0" shrinkToFit="0" readingOrder="0"/>
    </dxf>
    <dxf>
      <font>
        <b val="0"/>
        <i val="0"/>
        <strike val="0"/>
        <condense val="0"/>
        <extend val="0"/>
        <outline val="0"/>
        <shadow val="0"/>
        <u val="none"/>
        <vertAlign val="baseline"/>
        <sz val="10"/>
        <color theme="1"/>
        <name val="Aptos Narrow"/>
        <family val="2"/>
        <scheme val="minor"/>
      </font>
      <alignment horizontal="center" vertical="bottom" textRotation="0" wrapText="0" indent="0" justifyLastLine="0" shrinkToFit="0" readingOrder="0"/>
    </dxf>
    <dxf>
      <font>
        <strike val="0"/>
        <outline val="0"/>
        <shadow val="0"/>
        <u val="none"/>
        <vertAlign val="baseline"/>
        <sz val="10"/>
        <color theme="1"/>
        <name val="Aptos Narrow"/>
        <family val="2"/>
        <scheme val="minor"/>
      </font>
      <alignment horizontal="center" vertical="bottom" textRotation="0" wrapText="0" indent="0" justifyLastLine="0" shrinkToFit="0" readingOrder="0"/>
      <border diagonalUp="0" diagonalDown="0">
        <left style="thin">
          <color theme="4"/>
        </left>
        <right/>
        <top style="thin">
          <color theme="4"/>
        </top>
        <bottom/>
        <vertical/>
        <horizontal/>
      </border>
    </dxf>
    <dxf>
      <font>
        <strike val="0"/>
        <outline val="0"/>
        <shadow val="0"/>
        <u val="none"/>
        <vertAlign val="baseline"/>
        <sz val="10"/>
        <color rgb="FF000000"/>
        <name val="Aptos Narrow"/>
        <family val="2"/>
        <scheme val="none"/>
      </font>
      <alignment horizontal="center" vertical="bottom" textRotation="0" wrapText="0" indent="0" justifyLastLine="0" shrinkToFit="0" readingOrder="0"/>
    </dxf>
    <dxf>
      <font>
        <b/>
        <i val="0"/>
        <strike val="0"/>
        <condense val="0"/>
        <extend val="0"/>
        <outline val="0"/>
        <shadow val="0"/>
        <u val="none"/>
        <vertAlign val="baseline"/>
        <sz val="9"/>
        <color theme="1"/>
        <name val="Aptos Narrow"/>
        <family val="2"/>
        <scheme val="minor"/>
      </font>
      <alignment horizontal="general" vertical="center" textRotation="0" indent="0" justifyLastLine="0" shrinkToFit="0" readingOrder="0"/>
    </dxf>
    <dxf>
      <numFmt numFmtId="19" formatCode="d/mm/yyyy"/>
    </dxf>
    <dxf>
      <fill>
        <patternFill patternType="none">
          <bgColor auto="1"/>
        </patternFill>
      </fill>
    </dxf>
    <dxf>
      <fill>
        <patternFill patternType="none">
          <bgColor auto="1"/>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1.xml"/><Relationship Id="rId39" Type="http://schemas.microsoft.com/office/2017/10/relationships/person" Target="persons/person.xml"/><Relationship Id="rId21" Type="http://schemas.openxmlformats.org/officeDocument/2006/relationships/worksheet" Target="worksheets/sheet21.xml"/><Relationship Id="rId34" Type="http://schemas.openxmlformats.org/officeDocument/2006/relationships/pivotCacheDefinition" Target="pivotCache/pivotCacheDefinition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pivotCacheDefinition" Target="pivotCache/pivotCacheDefinition4.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ivotCacheDefinition" Target="pivotCache/pivotCacheDefinition7.xml"/><Relationship Id="rId37" Type="http://schemas.openxmlformats.org/officeDocument/2006/relationships/sharedStrings" Target="sharedStrings.xml"/><Relationship Id="rId40" Type="http://schemas.microsoft.com/office/2022/11/relationships/FeaturePropertyBag" Target="featurePropertyBag/featurePropertyBag.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3.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2.xml"/><Relationship Id="rId30" Type="http://schemas.openxmlformats.org/officeDocument/2006/relationships/pivotCacheDefinition" Target="pivotCache/pivotCacheDefinition5.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pivotCacheDefinition" Target="pivotCache/pivotCacheDefinition8.xml"/><Relationship Id="rId38" Type="http://schemas.openxmlformats.org/officeDocument/2006/relationships/sheetMetadata" Target="metadata.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 id="{EAF3B72D-A811-4F4B-99A8-8D3FCCF5C203}"/>
  <namedSheetView name="Vista 1" id="{EC208685-E0F5-4E8F-9CB6-C8D61BBACD5A}"/>
  <namedSheetView name="Vista2" id="{DD28FD14-E8CA-4CC8-8245-5A523FDD8AD8}"/>
</namedSheetViews>
</file>

<file path=xl/persons/person.xml><?xml version="1.0" encoding="utf-8"?>
<personList xmlns="http://schemas.microsoft.com/office/spreadsheetml/2018/threadedcomments" xmlns:x="http://schemas.openxmlformats.org/spreadsheetml/2006/main">
  <person displayName="Paola Sandoval" id="{5EE46BE5-DD9D-4892-BAC9-6B3572BCE2D9}" userId="S::psandoval@santander.com.pe::e1acea5a-f2f6-4f71-8231-25db511c9608"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25.458169560188" createdVersion="8" refreshedVersion="8" minRefreshableVersion="3" recordCount="86" xr:uid="{F9291A1E-91DE-46C5-AFD2-FB646B7BF12F}">
  <cacheSource type="worksheet">
    <worksheetSource ref="B3:U89" sheet="Aplicaciones de Soporte"/>
  </cacheSource>
  <cacheFields count="20">
    <cacheField name="Item" numFmtId="0">
      <sharedItems containsString="0" containsBlank="1" containsNumber="1" containsInteger="1" minValue="1" maxValue="83"/>
    </cacheField>
    <cacheField name="Frente" numFmtId="0">
      <sharedItems containsBlank="1"/>
    </cacheField>
    <cacheField name="Artefacto" numFmtId="0">
      <sharedItems containsBlank="1"/>
    </cacheField>
    <cacheField name="fila2" numFmtId="0">
      <sharedItems containsBlank="1"/>
    </cacheField>
    <cacheField name="Frente con dependencia" numFmtId="0">
      <sharedItems containsBlank="1"/>
    </cacheField>
    <cacheField name="Frente proveedor" numFmtId="0">
      <sharedItems containsBlank="1"/>
    </cacheField>
    <cacheField name="Dependencia" numFmtId="0">
      <sharedItems containsBlank="1"/>
    </cacheField>
    <cacheField name="Descripción" numFmtId="0">
      <sharedItems containsBlank="1"/>
    </cacheField>
    <cacheField name="Tipo de dependencia" numFmtId="0">
      <sharedItems containsBlank="1"/>
    </cacheField>
    <cacheField name="Criticidad" numFmtId="0">
      <sharedItems containsBlank="1"/>
    </cacheField>
    <cacheField name="Fecha requerida" numFmtId="0">
      <sharedItems containsNonDate="0" containsDate="1" containsString="0" containsBlank="1" minDate="2026-03-20T00:00:00" maxDate="2026-05-16T00:00:00"/>
    </cacheField>
    <cacheField name="Fecha Nueva" numFmtId="14">
      <sharedItems containsNonDate="0" containsDate="1" containsString="0" containsBlank="1" minDate="2026-04-17T00:00:00" maxDate="2026-04-21T00:00:00"/>
    </cacheField>
    <cacheField name="Fecha acordada" numFmtId="14">
      <sharedItems containsDate="1" containsBlank="1" containsMixedTypes="1" minDate="2026-04-06T00:00:00" maxDate="2026-09-29T00:00:00"/>
    </cacheField>
    <cacheField name="Plan de mitigación" numFmtId="0">
      <sharedItems containsNonDate="0" containsString="0" containsBlank="1"/>
    </cacheField>
    <cacheField name="Responsable" numFmtId="0">
      <sharedItems containsBlank="1"/>
    </cacheField>
    <cacheField name="Revisado por PMO" numFmtId="0">
      <sharedItems containsBlank="1"/>
    </cacheField>
    <cacheField name="Estado" numFmtId="0">
      <sharedItems containsBlank="1" count="7">
        <s v="2.Solicitada"/>
        <s v="1.Identificada"/>
        <s v="3.En progreso"/>
        <s v="4.Resuelta"/>
        <m/>
        <s v="Solicitada" u="1"/>
        <s v="Identificada" u="1"/>
      </sharedItems>
    </cacheField>
    <cacheField name="BBLOCK" numFmtId="0">
      <sharedItems containsBlank="1"/>
    </cacheField>
    <cacheField name="Comentario PMO" numFmtId="0">
      <sharedItems containsBlank="1"/>
    </cacheField>
    <cacheField name="VENCIO_30_04"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25.458169560188" createdVersion="8" refreshedVersion="8" minRefreshableVersion="3" recordCount="320" xr:uid="{77C5F964-70D3-4B86-8F6B-CBA37CBA86A0}">
  <cacheSource type="worksheet">
    <worksheetSource ref="A1:S448" sheet="TB_DEPENDENCIA"/>
  </cacheSource>
  <cacheFields count="19">
    <cacheField name="ITEM" numFmtId="0">
      <sharedItems containsString="0" containsBlank="1" containsNumber="1" containsInteger="1" minValue="1" maxValue="135"/>
    </cacheField>
    <cacheField name="Frente" numFmtId="0">
      <sharedItems containsBlank="1" count="9">
        <s v="Canal Digital"/>
        <s v="Canal Asistidos"/>
        <s v="Integración"/>
        <s v="Cards &amp; Payments"/>
        <s v="Migracion de datos"/>
        <s v="Aplicaciones de soporte"/>
        <s v="Data"/>
        <m/>
        <s v="Core" u="1"/>
      </sharedItems>
    </cacheField>
    <cacheField name="Artefacto" numFmtId="0">
      <sharedItems containsBlank="1" containsMixedTypes="1" containsNumber="1" containsInteger="1" minValue="0" maxValue="0"/>
    </cacheField>
    <cacheField name="fila2" numFmtId="0">
      <sharedItems containsBlank="1" containsMixedTypes="1" containsNumber="1" containsInteger="1" minValue="0" maxValue="0"/>
    </cacheField>
    <cacheField name="Frente con dependencia" numFmtId="0">
      <sharedItems containsBlank="1"/>
    </cacheField>
    <cacheField name="Frente proveedor" numFmtId="0">
      <sharedItems containsBlank="1" containsMixedTypes="1" containsNumber="1" containsInteger="1" minValue="0" maxValue="0"/>
    </cacheField>
    <cacheField name="Dependencia" numFmtId="0">
      <sharedItems containsBlank="1"/>
    </cacheField>
    <cacheField name="Descripción" numFmtId="0">
      <sharedItems containsBlank="1" containsMixedTypes="1" containsNumber="1" containsInteger="1" minValue="0" maxValue="0" longText="1"/>
    </cacheField>
    <cacheField name="Tipo de dependencia" numFmtId="0">
      <sharedItems containsBlank="1" containsMixedTypes="1" containsNumber="1" containsInteger="1" minValue="0" maxValue="0"/>
    </cacheField>
    <cacheField name="Criticidad" numFmtId="0">
      <sharedItems containsBlank="1" containsMixedTypes="1" containsNumber="1" containsInteger="1" minValue="0" maxValue="0"/>
    </cacheField>
    <cacheField name="Fecha requerida" numFmtId="14">
      <sharedItems containsNonDate="0" containsDate="1" containsString="0" containsBlank="1" minDate="1899-12-30T00:00:00" maxDate="2026-10-31T00:00:00"/>
    </cacheField>
    <cacheField name="Fecha Nueva" numFmtId="14">
      <sharedItems containsNonDate="0" containsDate="1" containsString="0" containsBlank="1" minDate="1899-12-30T00:00:00" maxDate="2026-10-05T00:00:00"/>
    </cacheField>
    <cacheField name="Fecha acordada" numFmtId="165">
      <sharedItems containsDate="1" containsBlank="1" containsMixedTypes="1" minDate="1899-12-30T00:00:00" maxDate="2026-10-31T00:00:00"/>
    </cacheField>
    <cacheField name="Plan de mitigación" numFmtId="0">
      <sharedItems containsBlank="1" containsMixedTypes="1" containsNumber="1" containsInteger="1" minValue="0" maxValue="0"/>
    </cacheField>
    <cacheField name="Responsable" numFmtId="0">
      <sharedItems containsBlank="1" containsMixedTypes="1" containsNumber="1" containsInteger="1" minValue="0" maxValue="0"/>
    </cacheField>
    <cacheField name="Revisado por PMO" numFmtId="0">
      <sharedItems containsBlank="1"/>
    </cacheField>
    <cacheField name="Estado" numFmtId="0">
      <sharedItems containsBlank="1" containsMixedTypes="1" containsNumber="1" containsInteger="1" minValue="0" maxValue="0" count="6">
        <s v="4.Resuelta"/>
        <s v="1.Identificada"/>
        <s v="2.Solicitada"/>
        <s v="3.En progreso"/>
        <m/>
        <n v="0" u="1"/>
      </sharedItems>
    </cacheField>
    <cacheField name="BBLOCK" numFmtId="0">
      <sharedItems containsBlank="1" containsMixedTypes="1" containsNumber="1" containsInteger="1" minValue="0" maxValue="0"/>
    </cacheField>
    <cacheField name="Comentario PMO" numFmtId="0">
      <sharedItems containsBlank="1" containsMixedTypes="1"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25.458169675927" createdVersion="8" refreshedVersion="8" minRefreshableVersion="3" recordCount="33" xr:uid="{2C1C380A-2615-438F-A0CD-93708B9B5811}">
  <cacheSource type="worksheet">
    <worksheetSource ref="B2:U35" sheet="Migración de Datos"/>
  </cacheSource>
  <cacheFields count="20">
    <cacheField name="Item" numFmtId="0">
      <sharedItems containsSemiMixedTypes="0" containsString="0" containsNumber="1" containsInteger="1" minValue="1" maxValue="33"/>
    </cacheField>
    <cacheField name="Frente" numFmtId="0">
      <sharedItems/>
    </cacheField>
    <cacheField name="Artefacto" numFmtId="0">
      <sharedItems/>
    </cacheField>
    <cacheField name="fila2" numFmtId="0">
      <sharedItems containsNonDate="0" containsString="0" containsBlank="1"/>
    </cacheField>
    <cacheField name="Frente con dependencia" numFmtId="0">
      <sharedItems/>
    </cacheField>
    <cacheField name="Frente proveedor" numFmtId="0">
      <sharedItems/>
    </cacheField>
    <cacheField name="Dependencia" numFmtId="0">
      <sharedItems/>
    </cacheField>
    <cacheField name="Descripción" numFmtId="0">
      <sharedItems longText="1"/>
    </cacheField>
    <cacheField name="Tipo de dependencia" numFmtId="0">
      <sharedItems/>
    </cacheField>
    <cacheField name="Criticidad" numFmtId="0">
      <sharedItems/>
    </cacheField>
    <cacheField name="Fecha requerida" numFmtId="14">
      <sharedItems containsSemiMixedTypes="0" containsNonDate="0" containsDate="1" containsString="0" minDate="2026-02-28T00:00:00" maxDate="2026-10-05T00:00:00"/>
    </cacheField>
    <cacheField name="Fecha Nueva" numFmtId="14">
      <sharedItems containsNonDate="0" containsDate="1" containsString="0" containsBlank="1" minDate="2026-04-17T00:00:00" maxDate="2026-05-01T00:00:00"/>
    </cacheField>
    <cacheField name="Fecha acordada" numFmtId="14">
      <sharedItems containsNonDate="0" containsDate="1" containsString="0" containsBlank="1" minDate="2026-02-23T00:00:00" maxDate="2026-09-03T00:00:00"/>
    </cacheField>
    <cacheField name="Plan de mitigación" numFmtId="0">
      <sharedItems containsBlank="1"/>
    </cacheField>
    <cacheField name="Responsable" numFmtId="0">
      <sharedItems/>
    </cacheField>
    <cacheField name="Revisado por PMO" numFmtId="0">
      <sharedItems/>
    </cacheField>
    <cacheField name="Estado" numFmtId="0">
      <sharedItems containsBlank="1" count="5">
        <s v="4.Resuelta"/>
        <s v="3.En progreso"/>
        <s v="Resuelta" u="1"/>
        <m u="1"/>
        <s v="En progreso" u="1"/>
      </sharedItems>
    </cacheField>
    <cacheField name="BBLOCK" numFmtId="0">
      <sharedItems/>
    </cacheField>
    <cacheField name="Comentario PMO" numFmtId="0">
      <sharedItems containsNonDate="0" containsString="0" containsBlank="1"/>
    </cacheField>
    <cacheField name="VENCIO_30_04" numFmtId="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25.458169675927" createdVersion="8" refreshedVersion="8" minRefreshableVersion="3" recordCount="15" xr:uid="{716BFC2F-56E8-4326-80F8-A74E8D908F21}">
  <cacheSource type="worksheet">
    <worksheetSource name="TablaIntegracion"/>
  </cacheSource>
  <cacheFields count="18">
    <cacheField name="Artefacto" numFmtId="0">
      <sharedItems/>
    </cacheField>
    <cacheField name="fila2" numFmtId="0">
      <sharedItems containsNonDate="0" containsString="0" containsBlank="1"/>
    </cacheField>
    <cacheField name="Frente con dependencia" numFmtId="0">
      <sharedItems/>
    </cacheField>
    <cacheField name="Frente proveedor" numFmtId="0">
      <sharedItems/>
    </cacheField>
    <cacheField name="Dependencia" numFmtId="0">
      <sharedItems/>
    </cacheField>
    <cacheField name="Descripción" numFmtId="0">
      <sharedItems/>
    </cacheField>
    <cacheField name="Tipo de dependencia" numFmtId="0">
      <sharedItems/>
    </cacheField>
    <cacheField name="Criticidad" numFmtId="0">
      <sharedItems/>
    </cacheField>
    <cacheField name="Fecha requerida" numFmtId="14">
      <sharedItems containsNonDate="0" containsDate="1" containsString="0" containsBlank="1" minDate="2026-03-17T00:00:00" maxDate="2026-04-01T00:00:00"/>
    </cacheField>
    <cacheField name="Fecha Nueva" numFmtId="14">
      <sharedItems containsNonDate="0" containsString="0" containsBlank="1"/>
    </cacheField>
    <cacheField name="Fecha acordada" numFmtId="14">
      <sharedItems containsNonDate="0" containsDate="1" containsString="0" containsBlank="1" minDate="2026-03-17T00:00:00" maxDate="2026-05-30T00:00:00"/>
    </cacheField>
    <cacheField name="Plan de mitigación" numFmtId="0">
      <sharedItems containsNonDate="0" containsString="0" containsBlank="1"/>
    </cacheField>
    <cacheField name="Responsable" numFmtId="0">
      <sharedItems/>
    </cacheField>
    <cacheField name="Revisado por PMO" numFmtId="0">
      <sharedItems/>
    </cacheField>
    <cacheField name="Estado" numFmtId="0">
      <sharedItems count="4">
        <s v="4.Resuelta"/>
        <s v="2.Solicitada"/>
        <s v="Resuelta" u="1"/>
        <s v="Solicitada" u="1"/>
      </sharedItems>
    </cacheField>
    <cacheField name="BBLOCK" numFmtId="0">
      <sharedItems/>
    </cacheField>
    <cacheField name="Comentario PMO" numFmtId="0">
      <sharedItems containsNonDate="0" containsString="0" containsBlank="1"/>
    </cacheField>
    <cacheField name="VENCIO_30_04" numFmtId="0">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25.458169675927" createdVersion="8" refreshedVersion="8" minRefreshableVersion="3" recordCount="12" xr:uid="{FB5813EF-DFB6-44CA-8950-181F2726FB0E}">
  <cacheSource type="worksheet">
    <worksheetSource ref="B1:U13" sheet="Data"/>
  </cacheSource>
  <cacheFields count="20">
    <cacheField name="Item" numFmtId="0">
      <sharedItems containsSemiMixedTypes="0" containsString="0" containsNumber="1" containsInteger="1" minValue="1" maxValue="12"/>
    </cacheField>
    <cacheField name="Frente" numFmtId="0">
      <sharedItems/>
    </cacheField>
    <cacheField name="Artefacto" numFmtId="0">
      <sharedItems containsBlank="1"/>
    </cacheField>
    <cacheField name="fila2" numFmtId="0">
      <sharedItems containsNonDate="0" containsString="0" containsBlank="1"/>
    </cacheField>
    <cacheField name="Frente con dependencia" numFmtId="0">
      <sharedItems/>
    </cacheField>
    <cacheField name="Frente proveedor" numFmtId="0">
      <sharedItems/>
    </cacheField>
    <cacheField name="Dependencia" numFmtId="0">
      <sharedItems/>
    </cacheField>
    <cacheField name="Descripción" numFmtId="0">
      <sharedItems/>
    </cacheField>
    <cacheField name="Tipo de dependencia" numFmtId="0">
      <sharedItems/>
    </cacheField>
    <cacheField name="Criticidad" numFmtId="0">
      <sharedItems/>
    </cacheField>
    <cacheField name="Fecha requerida" numFmtId="14">
      <sharedItems containsSemiMixedTypes="0" containsNonDate="0" containsDate="1" containsString="0" minDate="2026-02-02T00:00:00" maxDate="2026-04-25T00:00:00"/>
    </cacheField>
    <cacheField name="Fecha Nueva" numFmtId="14">
      <sharedItems containsNonDate="0" containsString="0" containsBlank="1"/>
    </cacheField>
    <cacheField name="Fecha acordada" numFmtId="14">
      <sharedItems containsNonDate="0" containsDate="1" containsString="0" containsBlank="1" minDate="2026-03-16T00:00:00" maxDate="2026-07-01T00:00:00"/>
    </cacheField>
    <cacheField name="Plan de mitigación" numFmtId="0">
      <sharedItems containsBlank="1"/>
    </cacheField>
    <cacheField name="Responsable" numFmtId="0">
      <sharedItems/>
    </cacheField>
    <cacheField name="Revisado por PMO" numFmtId="0">
      <sharedItems/>
    </cacheField>
    <cacheField name="Estado" numFmtId="0">
      <sharedItems count="7">
        <s v="3.En progreso"/>
        <s v="1.Identificada"/>
        <s v="4.Resuelta"/>
        <s v="5.Finalizado" u="1"/>
        <s v="En progreso" u="1"/>
        <s v="Identificada" u="1"/>
        <s v="Finalizado" u="1"/>
      </sharedItems>
    </cacheField>
    <cacheField name="BBLOCK" numFmtId="0">
      <sharedItems/>
    </cacheField>
    <cacheField name="Comentario PMO" numFmtId="0">
      <sharedItems containsNonDate="0" containsString="0" containsBlank="1"/>
    </cacheField>
    <cacheField name="VENCIO_30_04" numFmtId="0">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25.458169675927" createdVersion="8" refreshedVersion="8" minRefreshableVersion="3" recordCount="134" xr:uid="{17872B6D-03A5-4355-9361-DAFDFC4E7622}">
  <cacheSource type="worksheet">
    <worksheetSource ref="B3:U137" sheet="Canal Asistidos"/>
  </cacheSource>
  <cacheFields count="20">
    <cacheField name="Item" numFmtId="0">
      <sharedItems containsSemiMixedTypes="0" containsString="0" containsNumber="1" containsInteger="1" minValue="1" maxValue="134"/>
    </cacheField>
    <cacheField name="Frente " numFmtId="0">
      <sharedItems/>
    </cacheField>
    <cacheField name="Artefacto" numFmtId="0">
      <sharedItems/>
    </cacheField>
    <cacheField name="Fila" numFmtId="0">
      <sharedItems containsBlank="1"/>
    </cacheField>
    <cacheField name="Frente con dependencia" numFmtId="0">
      <sharedItems/>
    </cacheField>
    <cacheField name="Frente proveedor" numFmtId="0">
      <sharedItems containsBlank="1"/>
    </cacheField>
    <cacheField name="Dependencia" numFmtId="0">
      <sharedItems/>
    </cacheField>
    <cacheField name="Descripción" numFmtId="0">
      <sharedItems/>
    </cacheField>
    <cacheField name="Tipo de dependencia" numFmtId="0">
      <sharedItems containsBlank="1"/>
    </cacheField>
    <cacheField name="Criticidad" numFmtId="0">
      <sharedItems containsBlank="1"/>
    </cacheField>
    <cacheField name="Fecha requerida" numFmtId="0">
      <sharedItems containsNonDate="0" containsDate="1" containsString="0" containsBlank="1" minDate="2026-03-23T00:00:00" maxDate="2026-10-31T00:00:00"/>
    </cacheField>
    <cacheField name="Fecha Nueva" numFmtId="0">
      <sharedItems containsNonDate="0" containsDate="1" containsString="0" containsBlank="1" minDate="2026-04-07T00:00:00" maxDate="2026-04-11T00:00:00"/>
    </cacheField>
    <cacheField name="Fecha acordada" numFmtId="14">
      <sharedItems containsDate="1" containsBlank="1" containsMixedTypes="1" minDate="2026-03-23T00:00:00" maxDate="2026-10-31T00:00:00"/>
    </cacheField>
    <cacheField name="Plan de mitigación" numFmtId="0">
      <sharedItems containsBlank="1"/>
    </cacheField>
    <cacheField name="Responsable" numFmtId="0">
      <sharedItems containsBlank="1"/>
    </cacheField>
    <cacheField name="Revisado por PMO" numFmtId="0">
      <sharedItems/>
    </cacheField>
    <cacheField name="Estado" numFmtId="0">
      <sharedItems containsBlank="1" count="9">
        <s v="4.Resuelta"/>
        <s v="1.Identificada"/>
        <s v="2.Solicitada"/>
        <s v="3.En progreso"/>
        <m u="1"/>
        <s v="Resuelta" u="1"/>
        <s v="Identificada" u="1"/>
        <s v="Solicitada" u="1"/>
        <s v="En progreso" u="1"/>
      </sharedItems>
    </cacheField>
    <cacheField name="BBLOCK" numFmtId="0">
      <sharedItems containsBlank="1"/>
    </cacheField>
    <cacheField name="Comentario PMO" numFmtId="0">
      <sharedItems containsNonDate="0" containsString="0" containsBlank="1"/>
    </cacheField>
    <cacheField name="VENCIO_30_04" numFmtId="0">
      <sharedItems/>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25.458169675927" createdVersion="8" refreshedVersion="8" minRefreshableVersion="3" recordCount="19" xr:uid="{C1EF9CAE-8A0E-4F68-9646-CC92815C3C82}">
  <cacheSource type="worksheet">
    <worksheetSource ref="B2:U21" sheet="Canal Digital"/>
  </cacheSource>
  <cacheFields count="20">
    <cacheField name="Item" numFmtId="0">
      <sharedItems containsSemiMixedTypes="0" containsString="0" containsNumber="1" containsInteger="1" minValue="1" maxValue="19"/>
    </cacheField>
    <cacheField name="Frente" numFmtId="0">
      <sharedItems/>
    </cacheField>
    <cacheField name="Artefacto" numFmtId="0">
      <sharedItems/>
    </cacheField>
    <cacheField name="fila2" numFmtId="0">
      <sharedItems/>
    </cacheField>
    <cacheField name="Frente con dependencia" numFmtId="0">
      <sharedItems/>
    </cacheField>
    <cacheField name="Frente proveedor" numFmtId="0">
      <sharedItems/>
    </cacheField>
    <cacheField name="Dependencia" numFmtId="0">
      <sharedItems/>
    </cacheField>
    <cacheField name="Descripción" numFmtId="0">
      <sharedItems containsBlank="1" longText="1"/>
    </cacheField>
    <cacheField name="Tipo de dependencia" numFmtId="0">
      <sharedItems/>
    </cacheField>
    <cacheField name="Criticidad" numFmtId="0">
      <sharedItems/>
    </cacheField>
    <cacheField name="Fecha requerida" numFmtId="14">
      <sharedItems containsSemiMixedTypes="0" containsNonDate="0" containsDate="1" containsString="0" minDate="2026-02-05T00:00:00" maxDate="2026-10-05T00:00:00"/>
    </cacheField>
    <cacheField name="Fecha Nueva" numFmtId="14">
      <sharedItems containsNonDate="0" containsDate="1" containsString="0" containsBlank="1" minDate="2026-03-23T00:00:00" maxDate="2026-10-05T00:00:00"/>
    </cacheField>
    <cacheField name="Fecha acordada" numFmtId="0">
      <sharedItems containsDate="1" containsBlank="1" containsMixedTypes="1" minDate="2026-01-04T00:00:00" maxDate="2026-10-05T00:00:00"/>
    </cacheField>
    <cacheField name="Plan de mitigación" numFmtId="0">
      <sharedItems containsNonDate="0" containsString="0" containsBlank="1"/>
    </cacheField>
    <cacheField name="Responsable" numFmtId="0">
      <sharedItems containsBlank="1"/>
    </cacheField>
    <cacheField name="Revisado por PMO" numFmtId="0">
      <sharedItems/>
    </cacheField>
    <cacheField name="Estado" numFmtId="0">
      <sharedItems containsBlank="1" count="9">
        <s v="4.Resuelta"/>
        <s v="1.Identificada"/>
        <s v="2.Solicitada"/>
        <s v="3.En progreso"/>
        <m/>
        <s v="Resuelto" u="1"/>
        <s v="Identificada" u="1"/>
        <s v="Solicitada" u="1"/>
        <s v="Proceso" u="1"/>
      </sharedItems>
    </cacheField>
    <cacheField name="BBLOCK" numFmtId="0">
      <sharedItems containsBlank="1"/>
    </cacheField>
    <cacheField name="Comentario PMO" numFmtId="0">
      <sharedItems containsBlank="1"/>
    </cacheField>
    <cacheField name="VENCIO_30_04" numFmtId="0">
      <sharedItems/>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25.458169675927" createdVersion="8" refreshedVersion="8" minRefreshableVersion="3" recordCount="135" xr:uid="{FC262A65-5F0E-45AA-8025-13C60CAC07DE}">
  <cacheSource type="worksheet">
    <worksheetSource ref="D3:S138" sheet="Canal Asistidos"/>
  </cacheSource>
  <cacheFields count="16">
    <cacheField name="Artefacto" numFmtId="0">
      <sharedItems/>
    </cacheField>
    <cacheField name="Fila" numFmtId="0">
      <sharedItems containsBlank="1"/>
    </cacheField>
    <cacheField name="Frente con dependencia" numFmtId="0">
      <sharedItems containsBlank="1" count="6">
        <s v="Reclamos y Dalis"/>
        <s v="SPACE"/>
        <s v="Mesa de Concesiones"/>
        <s v="Cyberfinancial"/>
        <s v="Genesys Cloud"/>
        <m u="1"/>
      </sharedItems>
    </cacheField>
    <cacheField name="Frente proveedor" numFmtId="0">
      <sharedItems containsBlank="1" count="28">
        <s v="Seguridad y Redes"/>
        <s v="Infraestructura"/>
        <s v="SPACE"/>
        <s v="Bantotal"/>
        <s v="Cyberfinancial"/>
        <s v="Ciberseguridad"/>
        <s v="Data"/>
        <s v="Negocio"/>
        <s v="Aplicaciones de Soporte"/>
        <s v="ODS"/>
        <s v="Web Institucional"/>
        <s v="Cards &amp; Payments"/>
        <m/>
        <s v="Integración ODS"/>
        <s v="DMS"/>
        <s v="Front consulta Documentos"/>
        <s v="Reclamos y Dalis"/>
        <s v="Mesa de concesiones"/>
        <s v="Zytrust"/>
        <s v="Prosegur"/>
        <s v="Enotria"/>
        <s v="Digital"/>
        <s v="Modellica"/>
        <s v="Izipay"/>
        <s v="Contratos" u="1"/>
        <s v="Arquitectura" u="1"/>
        <s v="Reniec" u="1"/>
        <s v="Data " u="1"/>
      </sharedItems>
    </cacheField>
    <cacheField name="Dependencia" numFmtId="0">
      <sharedItems/>
    </cacheField>
    <cacheField name="Descripción" numFmtId="0">
      <sharedItems containsBlank="1" count="92">
        <s v="Habilitar firewalls en la VPN local para ingresar al ambiente preproductivo de Reclamos y DALIs"/>
        <s v="Control M: transferencia de archivos"/>
        <s v="Habilitacion de usuarios de desarrollo AWS DATA"/>
        <s v="Integracion con Entra ID"/>
        <s v="Carga inicial"/>
        <s v="Habilitación para integración con entraID"/>
        <s v="Migracion de audios cobranza"/>
        <s v="Migracion historica de reclamos y carga de audios."/>
        <s v="Definir las modificaciones de documentos y registro de trazabilidad"/>
        <s v="Definición de notificaciones dentro de la Gestión de rechazo de la solicitud"/>
        <s v="Definición de estructura de documentos para los sustentos por observación"/>
        <s v="Desarrollo de 8 APIs para obtener resultados de evaluación, gestor documental y notificaciones"/>
        <s v="Definición de KPIs, dashboard y vistas clave para el supervisor"/>
        <s v="Definición de atención de Mesa de Autonomías"/>
        <s v="Definición de módulo de administración de Autonomías"/>
        <s v="Definición de modelo de atención en Bandeja de Mesa de Concesiones (Asignación manual / automática)"/>
        <s v="Definición de SLAs de atención y planes de acción"/>
        <s v="Integración con BT para enviar solicitudes evaluadas a Mesa de Concesiones"/>
        <s v="Integración con SPACE para embeber Mesa de Concesiones"/>
        <s v="Definición de roles que tendrán acceso a Mesa de Concesiones"/>
        <s v="Proceso de exportación de campañas"/>
        <s v="Proceso de exportación de clientes desde BT"/>
        <s v="Definir fuente origen para carga de campañas "/>
        <s v="Confirmar donde residirán los No clientes (Personas que NO son clientes del Banco) "/>
        <s v="Estructura Comercial de Agencias y CC "/>
        <s v="Proceso de exportación de prospectos"/>
        <s v="Configuración de roles para back office (RECLAMOS)"/>
        <s v="Configuración de roles para agencias (RECLAMOS)"/>
        <s v="Configuración los roles para contact center (RECLAMOS)"/>
        <s v="Configuración de roles para back office (DALIS)"/>
        <s v="Configuración de roles para agencias (DALIS)"/>
        <s v="Configuración los roles para contact center (DALIS)"/>
        <s v="Creación de un ambiente pre productivo espejo"/>
        <s v="Disponibilizar informacion historica de Dalis en datalake."/>
        <s v="Se dejará la información en el bucket S3 con los reclamos generados desde la Web Institucional, y esta viajará en un proceso tipo batch hacia la bandeja de preregistro del sistema de Reclamos."/>
        <s v="Actualización de pagos en bantotal de TC"/>
        <s v="Actualización de pagos en bantotal de TD"/>
        <s v="Proceso de exportación de NO CLIENTES desde XXXXX"/>
        <s v="Confirmación de estados de las tarjetas"/>
        <s v="Definición de estados de tarjeta de débito y motivos de bloqueo"/>
        <s v="Agregar el campo estado de movimientos para tarjetas de débito"/>
        <s v="Desarrollo de 8 Apis por parte de ODS (IVR)"/>
        <s v="Confirmar con BT el origen de la base de fraudes para la integración con APIs"/>
        <s v="Confirmar con BT el origen de la base de países restringidos o prohibidos"/>
        <s v="Disponibilizar informacion historica de reclamos en datalake."/>
        <s v="Generación de reportes de usuarios con información retornada de Space"/>
        <s v="Migracion de Datos (One shot) (UAT)"/>
        <s v="Confirmar funcionalidades en las herramientas Vision+ e IG, entre otras."/>
        <s v="Integración con cyberfinancial"/>
        <s v="Confirmacion de funcionalidades actuales de DMS y roles para on demand"/>
        <s v="Integración con aplicación de consulta de estados de cuenta"/>
        <s v="Integración con aplicación de quejas y reclamos"/>
        <s v="Central Telefonica"/>
        <s v="Link de ingreso a Reniec desde SPACE"/>
        <s v="Disponibilidad del dispositivo biometrico"/>
        <s v="Habilitación de Equipo con Biomatch Client"/>
        <s v="Autenticación/Identificación de cliente con huellero "/>
        <s v="Integración con aplicación web de Prosegur"/>
        <s v="Integración con aplicación web de Enotria"/>
        <s v="Integración de la web asistidos "/>
        <s v="Cerrar con las historias de usaurio asocidas al PI3"/>
        <s v="Cerrar con las historias de usuario asocidas al PI2"/>
        <s v="Validación de las Url's de las aplicaciones externas a embeber en Space"/>
        <s v="Generacion de UDA 1 y 2 para envio informacion Préstamos (UAT)"/>
        <s v="Comunicacíón entre ambientes para probra el SFTP a ser utilizado en la carga diaria y One Shot"/>
        <s v="Generacion de UDA 6 para envio de informacion TC (UAT)"/>
        <s v="Disponibilizar archivo LST para estrategia cobranzas (UAT)"/>
        <s v="Configuración de campañas para agente de servicio"/>
        <s v="Configuración de campañas para agente de cobranza"/>
        <s v="Configuracion de Roles Genesys cloud"/>
        <s v="Configuracion de Roles Contact Center"/>
        <s v="Configuracion de Roles Agencias"/>
        <s v="Confirmar los segmentos para que se derive a las colas de asesores dentro de la integración con IVR"/>
        <s v="Configuracion de reportes Contact Center"/>
        <s v="Configuracion de reportes Agencia"/>
        <s v="Integración tipo batch para la comunicación entre IZIPAY y BANTOTAL para el sistema de reclamos y DALIs – canal Contact Center"/>
        <s v="Integración tipo batch para la comunicación entre IZIPAY y BANTOTAL para el sistema de reclamos y DALIs – canal Agencia."/>
        <s v="Definir que herramienta se usara para llamadas en las agencias"/>
        <s v="Habilitacion de telefonía para el contact center"/>
        <s v="Contar con Datalake para almacenamiento de información"/>
        <s v="Validación de formatos blancos 1, 2 y 6"/>
        <s v="Solicitud de data de prueba – Base de Datos RGTRABAJO"/>
        <m u="1"/>
        <s v="Confirmar adquisición de las licencias para appian" u="1"/>
        <s v="Instalación de appian" u="1"/>
        <s v="Registro de aplicativo de CyberFinancial en el entra ID de Santander Global (UAT)" u="1"/>
        <s v="Cerrar con las historias de usaurio asocidas al PI2" u="1"/>
        <s v="Desarrollo de 7 Apis por parte de ODS (IVR)" u="1"/>
        <s v="Desarrollo de 5 APIs para obtener resultados de evaluación, gestor documental y notificaciones" u="1"/>
        <s v="Integracion con cyberfinancial" u="1"/>
        <s v="Integracion en el iframe con parametros" u="1"/>
        <s v="Habilitación de API para envío de notificaciones" u="1"/>
      </sharedItems>
    </cacheField>
    <cacheField name="Tipo de dependencia" numFmtId="0">
      <sharedItems containsBlank="1"/>
    </cacheField>
    <cacheField name="Criticidad" numFmtId="0">
      <sharedItems containsBlank="1"/>
    </cacheField>
    <cacheField name="Fecha requerida" numFmtId="0">
      <sharedItems containsNonDate="0" containsDate="1" containsString="0" containsBlank="1" minDate="2026-03-23T00:00:00" maxDate="2026-10-31T00:00:00"/>
    </cacheField>
    <cacheField name="Fecha Nueva" numFmtId="0">
      <sharedItems containsNonDate="0" containsDate="1" containsString="0" containsBlank="1" minDate="2026-04-07T00:00:00" maxDate="2026-04-11T00:00:00"/>
    </cacheField>
    <cacheField name="Fecha acordada" numFmtId="14">
      <sharedItems containsDate="1" containsBlank="1" containsMixedTypes="1" minDate="2026-03-23T00:00:00" maxDate="2026-10-31T00:00:00"/>
    </cacheField>
    <cacheField name="Plan de mitigación" numFmtId="0">
      <sharedItems containsBlank="1"/>
    </cacheField>
    <cacheField name="Responsable" numFmtId="0">
      <sharedItems containsBlank="1"/>
    </cacheField>
    <cacheField name="Revisado por PMO" numFmtId="0">
      <sharedItems/>
    </cacheField>
    <cacheField name="Estado" numFmtId="0">
      <sharedItems/>
    </cacheField>
    <cacheField name="BBLOCK" numFmtId="0">
      <sharedItems containsBlank="1"/>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ella Del Pilar Bardales Rodriguez" refreshedDate="46125.548488310182" createdVersion="8" refreshedVersion="8" minRefreshableVersion="3" recordCount="319" xr:uid="{1F4577B6-815C-4B87-8B2D-8277CEEA4F69}">
  <cacheSource type="worksheet">
    <worksheetSource ref="A1:T320" sheet="TB_DEPENDENCIA"/>
  </cacheSource>
  <cacheFields count="20">
    <cacheField name="ITEM" numFmtId="0">
      <sharedItems containsSemiMixedTypes="0" containsString="0" containsNumber="1" containsInteger="1" minValue="1" maxValue="135"/>
    </cacheField>
    <cacheField name="Frente" numFmtId="0">
      <sharedItems count="7">
        <s v="Canal Digital"/>
        <s v="Canal Asistidos"/>
        <s v="Integración"/>
        <s v="Cards &amp; Payments"/>
        <s v="Migracion de datos"/>
        <s v="Aplicaciones de soporte"/>
        <s v="Data"/>
      </sharedItems>
    </cacheField>
    <cacheField name="Artefacto" numFmtId="0">
      <sharedItems containsMixedTypes="1" containsNumber="1" containsInteger="1" minValue="0" maxValue="0"/>
    </cacheField>
    <cacheField name="fila2" numFmtId="0">
      <sharedItems containsMixedTypes="1" containsNumber="1" containsInteger="1" minValue="0" maxValue="0"/>
    </cacheField>
    <cacheField name="Frente con dependencia" numFmtId="0">
      <sharedItems/>
    </cacheField>
    <cacheField name="Frente proveedor" numFmtId="0">
      <sharedItems containsMixedTypes="1" containsNumber="1" containsInteger="1" minValue="0" maxValue="0"/>
    </cacheField>
    <cacheField name="Dependencia" numFmtId="0">
      <sharedItems/>
    </cacheField>
    <cacheField name="Descripción" numFmtId="0">
      <sharedItems containsMixedTypes="1" containsNumber="1" containsInteger="1" minValue="0" maxValue="0" longText="1"/>
    </cacheField>
    <cacheField name="Tipo de dependencia" numFmtId="0">
      <sharedItems containsMixedTypes="1" containsNumber="1" containsInteger="1" minValue="0" maxValue="0"/>
    </cacheField>
    <cacheField name="Criticidad" numFmtId="0">
      <sharedItems containsMixedTypes="1" containsNumber="1" containsInteger="1" minValue="0" maxValue="0"/>
    </cacheField>
    <cacheField name="Fecha requerida" numFmtId="14">
      <sharedItems containsSemiMixedTypes="0" containsNonDate="0" containsDate="1" containsString="0" minDate="1899-12-30T00:00:00" maxDate="2026-10-31T00:00:00"/>
    </cacheField>
    <cacheField name="Fecha Nueva" numFmtId="14">
      <sharedItems containsSemiMixedTypes="0" containsNonDate="0" containsDate="1" containsString="0" minDate="1899-12-30T00:00:00" maxDate="2026-10-05T00:00:00"/>
    </cacheField>
    <cacheField name="Fecha acordada" numFmtId="165">
      <sharedItems containsDate="1" containsMixedTypes="1" minDate="1899-12-30T00:00:00" maxDate="2026-10-31T00:00:00"/>
    </cacheField>
    <cacheField name="Plan de mitigación" numFmtId="0">
      <sharedItems containsMixedTypes="1" containsNumber="1" containsInteger="1" minValue="0" maxValue="0"/>
    </cacheField>
    <cacheField name="Responsable" numFmtId="0">
      <sharedItems containsMixedTypes="1" containsNumber="1" containsInteger="1" minValue="0" maxValue="0"/>
    </cacheField>
    <cacheField name="Revisado por PMO" numFmtId="0">
      <sharedItems/>
    </cacheField>
    <cacheField name="Estado" numFmtId="0">
      <sharedItems count="4">
        <s v="4.Resuelta"/>
        <s v="1.Identificada"/>
        <s v="2.Solicitada"/>
        <s v="3.En progreso"/>
      </sharedItems>
    </cacheField>
    <cacheField name="BBLOCK" numFmtId="0">
      <sharedItems containsMixedTypes="1" containsNumber="1" containsInteger="1" minValue="0" maxValue="0"/>
    </cacheField>
    <cacheField name="Comentario PMO" numFmtId="0">
      <sharedItems containsMixedTypes="1" containsNumber="1" containsInteger="1" minValue="0" maxValue="0"/>
    </cacheField>
    <cacheField name="OK" numFmtId="0">
      <sharedItems count="2">
        <s v="S"/>
        <s v="N"/>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6">
  <r>
    <n v="1"/>
    <s v="Aplicaciones de soporte"/>
    <s v="Mapa"/>
    <s v="M-X"/>
    <s v="Soporte / Modellica (Admisión Crediticia)"/>
    <s v="Riesgos TI"/>
    <s v="Servicio de consulta en línea con Experian y Equifax"/>
    <s v="Contratar el servicio de consulta en línea de Experian y Equifax"/>
    <s v="Técnica"/>
    <s v="Alta"/>
    <d v="2026-03-20T00:00:00"/>
    <m/>
    <s v="TBD"/>
    <m/>
    <s v="Darwin C."/>
    <b v="1"/>
    <x v="0"/>
    <s v="Soporte"/>
    <m/>
    <s v="S"/>
  </r>
  <r>
    <n v="2"/>
    <s v="Aplicaciones de soporte"/>
    <s v="Mapa"/>
    <s v="M-X"/>
    <s v="Soporte / KYC - Score AML Batch"/>
    <s v="Proveedor Monitor"/>
    <s v="Proceso Batch"/>
    <s v="Generacion de Archivo SCORE AML mensual"/>
    <s v="Técnica"/>
    <s v="Alta"/>
    <d v="2026-03-23T00:00:00"/>
    <m/>
    <s v="TBD"/>
    <m/>
    <s v="Enrique Lopez"/>
    <b v="1"/>
    <x v="0"/>
    <s v="Soporte"/>
    <m/>
    <s v="S"/>
  </r>
  <r>
    <n v="3"/>
    <s v="Aplicaciones de soporte"/>
    <s v="Mapa"/>
    <s v="MF-JH-0005"/>
    <s v="Soporte / Spring ERP"/>
    <s v="Core"/>
    <s v="Definición de interfaces"/>
    <s v="Definir las interfaces para asientos contables en BT"/>
    <s v="Técnica"/>
    <s v="Alta"/>
    <d v="2026-05-15T00:00:00"/>
    <m/>
    <d v="2026-05-15T00:00:00"/>
    <m/>
    <s v="Julio P."/>
    <b v="0"/>
    <x v="1"/>
    <s v="Soporte"/>
    <m/>
    <s v="N"/>
  </r>
  <r>
    <n v="4"/>
    <s v="Aplicaciones de soporte"/>
    <s v="Mapa"/>
    <s v="MF-JH-0028"/>
    <s v="Soporte / Spring ERP / Gestión de Logistica / Logistica de Proveedores"/>
    <s v="Comunication Manager"/>
    <s v="Habilitación de interfaz de correos"/>
    <s v="Habilitar el envio de correos internos y/o externos"/>
    <s v="Técnica"/>
    <s v="Alta"/>
    <d v="2026-05-15T00:00:00"/>
    <m/>
    <s v="TBD"/>
    <m/>
    <s v="Willy V"/>
    <b v="0"/>
    <x v="1"/>
    <s v="Soporte"/>
    <m/>
    <s v="N"/>
  </r>
  <r>
    <n v="5"/>
    <s v="Aplicaciones de soporte"/>
    <s v="Mapa"/>
    <s v="MF-JH-0029"/>
    <s v="Soporte / Spring ERP / Gestión de Logistica / Logistica de Economato"/>
    <s v="Comunication Manager"/>
    <s v="Habilitación de interfaz de correos"/>
    <s v="Habilitar el envio de correos internos y/o externos"/>
    <s v="Técnica"/>
    <s v="Alta"/>
    <d v="2026-05-15T00:00:00"/>
    <m/>
    <s v="TBD"/>
    <m/>
    <s v="Willy V"/>
    <b v="0"/>
    <x v="1"/>
    <s v="Soporte"/>
    <m/>
    <s v="N"/>
  </r>
  <r>
    <n v="6"/>
    <s v="Aplicaciones de soporte"/>
    <s v="Mapa"/>
    <s v="MF-JH-0030"/>
    <s v="Soporte / Spring ERP / Gestión de Logistica / Mantenimiento de Oficinas"/>
    <s v="Comunication Manager"/>
    <s v="Habilitación de interfaz de correos"/>
    <s v="Habilitar el envio de correos internos y/o externos"/>
    <s v="Técnica"/>
    <s v="Alta"/>
    <d v="2026-05-15T00:00:00"/>
    <m/>
    <s v="TBD"/>
    <m/>
    <s v="Willy V"/>
    <b v="0"/>
    <x v="1"/>
    <s v="Soporte"/>
    <m/>
    <s v="N"/>
  </r>
  <r>
    <n v="7"/>
    <s v="Aplicaciones de soporte"/>
    <s v="Mapa"/>
    <s v="MF-JH-0031"/>
    <s v="Soporte / Spring ERP / Gestión de Logistica / Logistica de Mantenimiento de Almacén"/>
    <s v="Comunication Manager"/>
    <s v="Habilitación de interfaz de correos"/>
    <s v="Habilitar el envio de correos internos y/o externos"/>
    <s v="Técnica"/>
    <s v="Alta"/>
    <d v="2026-05-15T00:00:00"/>
    <m/>
    <s v="TBD"/>
    <m/>
    <s v="Willy V"/>
    <b v="0"/>
    <x v="1"/>
    <s v="Soporte"/>
    <m/>
    <s v="N"/>
  </r>
  <r>
    <n v="8"/>
    <s v="Aplicaciones de soporte"/>
    <s v="Mapa"/>
    <s v="MF-JH-0032"/>
    <s v="Soporte / Spring ERP / Gestión de Contratos / Asignación de presupuesto"/>
    <s v="Comunication Manager"/>
    <s v="Habilitación de interfaz de correos"/>
    <s v="Habilitar el envio de correos internos y/o externos"/>
    <s v="Técnica"/>
    <s v="Alta"/>
    <d v="2026-05-15T00:00:00"/>
    <m/>
    <s v="TBD"/>
    <m/>
    <s v="Willy V"/>
    <b v="0"/>
    <x v="1"/>
    <s v="Soporte"/>
    <m/>
    <s v="N"/>
  </r>
  <r>
    <n v="9"/>
    <s v="Aplicaciones de soporte"/>
    <s v="Mapa"/>
    <s v="MF-JH-0033"/>
    <s v="Soporte / Spring ERP / Gestión de Contratos / Registro de Contratos de proveedores"/>
    <s v="Comunication Manager"/>
    <s v="Habilitación de interfaz de correos"/>
    <s v="Habilitar el envio de correos internos y/o externos"/>
    <s v="Técnica"/>
    <s v="Alta"/>
    <d v="2026-05-15T00:00:00"/>
    <m/>
    <s v="TBD"/>
    <m/>
    <s v="Willy V"/>
    <b v="0"/>
    <x v="1"/>
    <s v="Soporte"/>
    <m/>
    <s v="N"/>
  </r>
  <r>
    <n v="10"/>
    <s v="Aplicaciones de soporte"/>
    <s v="Mapa"/>
    <s v="MF-JH-0034"/>
    <s v="Soporte / Spring ERP / Gestión de Contratos / Registro de adendas"/>
    <s v="Comunication Manager"/>
    <s v="Habilitación de interfaz de correos"/>
    <s v="Habilitar el envio de correos internos y/o externos"/>
    <s v="Técnica"/>
    <s v="Alta"/>
    <d v="2026-05-15T00:00:00"/>
    <m/>
    <s v="TBD"/>
    <m/>
    <s v="Willy V"/>
    <b v="0"/>
    <x v="1"/>
    <s v="Soporte"/>
    <m/>
    <s v="N"/>
  </r>
  <r>
    <n v="11"/>
    <s v="Aplicaciones de soporte"/>
    <s v="Mapa"/>
    <s v="MF-JH-0035"/>
    <s v="Soporte / Spring ERP / Gestión de Contratos / Actualización de saldos"/>
    <s v="Comunication Manager"/>
    <s v="Habilitación de interfaz de correos"/>
    <s v="Habilitar el envio de correos internos y/o externos"/>
    <s v="Técnica"/>
    <s v="Alta"/>
    <d v="2026-05-15T00:00:00"/>
    <m/>
    <s v="TBD"/>
    <m/>
    <s v="Willy V"/>
    <b v="0"/>
    <x v="1"/>
    <s v="Soporte"/>
    <m/>
    <s v="N"/>
  </r>
  <r>
    <n v="12"/>
    <s v="Aplicaciones de soporte"/>
    <s v="Mapa"/>
    <s v="MF-JH-0036"/>
    <s v="Soporte / Spring ERP / Pago de Obligaciones / Pagos de servicios públicos (agua, luz, etc)"/>
    <s v="Comunication Manager"/>
    <s v="Habilitación de interfaz de correos"/>
    <s v="Habilitar el envio de correos internos y/o externos"/>
    <s v="Técnica"/>
    <s v="Alta"/>
    <d v="2026-05-15T00:00:00"/>
    <m/>
    <s v="TBD"/>
    <m/>
    <s v="Willy V"/>
    <b v="0"/>
    <x v="1"/>
    <s v="Soporte"/>
    <m/>
    <s v="N"/>
  </r>
  <r>
    <n v="13"/>
    <s v="Aplicaciones de soporte"/>
    <s v="Mapa"/>
    <s v="MF-JH-0037"/>
    <s v="Soporte / Spring ERP / Pago de Obligaciones / Pagos de servicios públicos (agua, luz, etc)"/>
    <s v="Comunication Manager"/>
    <s v="Habilitación de interfaz de correos"/>
    <s v="Habilitar el envio de correos internos y/o externos"/>
    <s v="Técnica"/>
    <s v="Alta"/>
    <d v="2026-05-15T00:00:00"/>
    <m/>
    <s v="TBD"/>
    <m/>
    <s v="Willy V"/>
    <b v="0"/>
    <x v="1"/>
    <s v="Soporte"/>
    <m/>
    <s v="N"/>
  </r>
  <r>
    <n v="14"/>
    <s v="Aplicaciones de soporte"/>
    <s v="Mapa"/>
    <s v="MF-JH-0038"/>
    <s v="Soporte / Spring ERP / Pago de Obligaciones / Cuentas por pagar/cobrar"/>
    <s v="Comunication Manager"/>
    <s v="Habilitación de interfaz de correos"/>
    <s v="Habilitar el envio de correos internos y/o externos"/>
    <s v="Técnica"/>
    <s v="Alta"/>
    <d v="2026-05-15T00:00:00"/>
    <m/>
    <s v="TBD"/>
    <m/>
    <s v="Willy V"/>
    <b v="0"/>
    <x v="1"/>
    <s v="Soporte"/>
    <m/>
    <s v="N"/>
  </r>
  <r>
    <n v="15"/>
    <s v="Aplicaciones de soporte"/>
    <s v="Mapa"/>
    <s v="MF-JH-0039"/>
    <s v="Soporte / Spring ERP / Gestión de activos / Alta y Baja de Activos fijos"/>
    <s v="Comunication Manager"/>
    <s v="Habilitación de interfaz de correos"/>
    <s v="Habilitar el envio de correos internos y/o externos"/>
    <s v="Técnica"/>
    <s v="Alta"/>
    <d v="2026-05-15T00:00:00"/>
    <m/>
    <s v="TBD"/>
    <m/>
    <s v="Willy V"/>
    <b v="0"/>
    <x v="1"/>
    <s v="Soporte"/>
    <m/>
    <s v="N"/>
  </r>
  <r>
    <n v="16"/>
    <s v="Aplicaciones de soporte"/>
    <s v="Mapa"/>
    <s v="MF-JH-0040"/>
    <s v="Soporte / Spring ERP / Presupuesto / Control de Presupuesto"/>
    <s v="Comunication Manager"/>
    <s v="Habilitación de interfaz de correos"/>
    <s v="Habilitar el envio de correos internos y/o externos"/>
    <s v="Técnica"/>
    <s v="Alta"/>
    <d v="2026-05-15T00:00:00"/>
    <m/>
    <s v="TBD"/>
    <m/>
    <s v="Willy V"/>
    <b v="0"/>
    <x v="1"/>
    <s v="Soporte"/>
    <m/>
    <s v="N"/>
  </r>
  <r>
    <n v="17"/>
    <s v="Aplicaciones de soporte"/>
    <s v="Mapa"/>
    <s v="MF-JH-0041"/>
    <s v="Soporte / Spring ERP / Presupuesto / Inicial de presupuesto anual"/>
    <s v="Comunication Manager"/>
    <s v="Habilitación de interfaz de correos"/>
    <s v="Habilitar el envio de correos internos y/o externos"/>
    <s v="Técnica"/>
    <s v="Alta"/>
    <d v="2026-05-15T00:00:00"/>
    <m/>
    <s v="TBD"/>
    <m/>
    <s v="Willy V"/>
    <b v="0"/>
    <x v="1"/>
    <s v="Soporte"/>
    <m/>
    <s v="N"/>
  </r>
  <r>
    <n v="18"/>
    <s v="Aplicaciones de soporte"/>
    <s v="Mapa"/>
    <s v="MF-JH-0042"/>
    <s v="Soporte / Spring ERP / Pago de Obligaciones / Recepción de facturas"/>
    <s v="Comunication Manager"/>
    <s v="Habilitación de interfaz de correos"/>
    <s v="Habilitar el envio de correos internos y/o externos"/>
    <s v="Técnica"/>
    <s v="Alta"/>
    <d v="2026-05-15T00:00:00"/>
    <m/>
    <s v="TBD"/>
    <m/>
    <s v="Willy V"/>
    <b v="0"/>
    <x v="1"/>
    <s v="Soporte"/>
    <m/>
    <s v="N"/>
  </r>
  <r>
    <n v="19"/>
    <s v="Aplicaciones de soporte"/>
    <s v="Mapa"/>
    <s v="MF-JH-0043"/>
    <s v="Soporte / Spring ERP / Gestión de Contratos / Registro de Contratos de proveedores"/>
    <s v="Comunication Manager"/>
    <s v="Habilitación de interfaz de correos"/>
    <s v="Habilitar el envio de correos internos y/o externos"/>
    <s v="Técnica"/>
    <s v="Alta"/>
    <d v="2026-05-15T00:00:00"/>
    <m/>
    <s v="TBD"/>
    <m/>
    <s v="Willy V"/>
    <b v="0"/>
    <x v="1"/>
    <s v="Soporte"/>
    <m/>
    <s v="N"/>
  </r>
  <r>
    <n v="20"/>
    <s v="Aplicaciones de soporte"/>
    <s v="Mapa"/>
    <s v="MF-JH-0044"/>
    <s v="Soporte / Spring ERP / Pago de Obligaciones / Pago a Proveedores"/>
    <s v="Comunication Manager"/>
    <s v="Habilitación de interfaz de correos"/>
    <s v="Habilitar el envio de correos internos y/o externos"/>
    <s v="Técnica"/>
    <s v="Alta"/>
    <d v="2026-05-15T00:00:00"/>
    <m/>
    <s v="TBD"/>
    <m/>
    <s v="Willy V"/>
    <b v="0"/>
    <x v="1"/>
    <s v="Soporte"/>
    <m/>
    <s v="N"/>
  </r>
  <r>
    <n v="21"/>
    <s v="Aplicaciones de soporte"/>
    <s v="Mapa"/>
    <s v="MF-JH-0045"/>
    <s v="Soporte / Spring ERP / Pago de Obligaciones / Aprobación de facturas"/>
    <s v="Comunication Manager"/>
    <s v="Habilitación de interfaz de correos"/>
    <s v="Habilitar el envio de correos internos y/o externos"/>
    <s v="Técnica"/>
    <s v="Alta"/>
    <d v="2026-05-15T00:00:00"/>
    <m/>
    <s v="TBD"/>
    <m/>
    <s v="Willy V"/>
    <b v="0"/>
    <x v="1"/>
    <s v="Soporte"/>
    <m/>
    <s v="N"/>
  </r>
  <r>
    <n v="22"/>
    <s v="Aplicaciones de soporte"/>
    <s v="Mapa"/>
    <s v="MF-JH-0046"/>
    <s v="Soporte / Spring ERP / Pago de Obligaciones / Pago de tributo e impuestos"/>
    <s v="Comunication Manager"/>
    <s v="Habilitación de interfaz de correos"/>
    <s v="Habilitar el envio de correos internos y/o externos"/>
    <s v="Técnica"/>
    <s v="Alta"/>
    <d v="2026-05-15T00:00:00"/>
    <m/>
    <s v="TBD"/>
    <m/>
    <s v="Willy V"/>
    <b v="0"/>
    <x v="1"/>
    <s v="Soporte"/>
    <m/>
    <s v="N"/>
  </r>
  <r>
    <n v="23"/>
    <s v="Aplicaciones de soporte"/>
    <s v="Mapa"/>
    <s v="MF-JH-0047"/>
    <s v="Soporte / Spring ERP / Gestión Contable / Generación de Asientos Contables"/>
    <s v="Comunication Manager"/>
    <s v="Habilitación de interfaz de correos"/>
    <s v="Habilitar el envio de correos internos y/o externos"/>
    <s v="Técnica"/>
    <s v="Alta"/>
    <d v="2026-05-15T00:00:00"/>
    <m/>
    <s v="TBD"/>
    <m/>
    <s v="Willy V"/>
    <b v="0"/>
    <x v="1"/>
    <s v="Soporte"/>
    <m/>
    <s v="N"/>
  </r>
  <r>
    <n v="24"/>
    <s v="Aplicaciones de soporte"/>
    <s v="Mapa"/>
    <s v="MF-JH-0048"/>
    <s v="Soporte / Spring ERP / Gestión Contable / Cierre Contable"/>
    <s v="Comunication Manager"/>
    <s v="Habilitación de interfaz de correos"/>
    <s v="Habilitar el envio de correos internos y/o externos"/>
    <s v="Técnica"/>
    <s v="Alta"/>
    <d v="2026-05-15T00:00:00"/>
    <m/>
    <s v="TBD"/>
    <m/>
    <s v="Willy V"/>
    <b v="0"/>
    <x v="1"/>
    <s v="Soporte"/>
    <m/>
    <s v="N"/>
  </r>
  <r>
    <n v="25"/>
    <s v="Aplicaciones de soporte"/>
    <s v="Mapa"/>
    <s v="MF-JH-0049"/>
    <s v="Soporte / Spring ERP / Reportes / Reportes y Consultas"/>
    <s v="Comunication Manager"/>
    <s v="Habilitación de interfaz de correos"/>
    <s v="Habilitar el envio de correos internos y/o externos"/>
    <s v="Técnica"/>
    <s v="Alta"/>
    <d v="2026-05-15T00:00:00"/>
    <m/>
    <s v="TBD"/>
    <m/>
    <s v="Willy V"/>
    <b v="0"/>
    <x v="1"/>
    <s v="Soporte"/>
    <m/>
    <s v="N"/>
  </r>
  <r>
    <n v="26"/>
    <s v="Aplicaciones de soporte"/>
    <s v="Mapa"/>
    <s v="MF-JH-0028"/>
    <s v="Soporte / Spring ERP / Gestión de Logistica / Logistica de Proveedores"/>
    <s v="Infraestructura"/>
    <s v="Habilitación de infraestructura"/>
    <s v="Habilitar la infraestructura AWS"/>
    <s v="Técnica"/>
    <s v="Alta"/>
    <d v="2026-05-15T00:00:00"/>
    <m/>
    <d v="2026-05-15T00:00:00"/>
    <m/>
    <s v="Hector G."/>
    <b v="0"/>
    <x v="0"/>
    <s v="Soporte"/>
    <m/>
    <s v="N"/>
  </r>
  <r>
    <n v="27"/>
    <s v="Aplicaciones de soporte"/>
    <s v="Mapa"/>
    <s v="MF-JH-0029"/>
    <s v="Soporte / Spring ERP / Gestión de Logistica / Logistica de Economato"/>
    <s v="Infraestructura"/>
    <s v="Habilitación de infraestructura"/>
    <s v="Habilitar la infraestructura AWS"/>
    <s v="Técnica"/>
    <s v="Alta"/>
    <d v="2026-05-15T00:00:00"/>
    <m/>
    <d v="2026-05-15T00:00:00"/>
    <m/>
    <s v="Hector G."/>
    <b v="0"/>
    <x v="0"/>
    <s v="Soporte"/>
    <m/>
    <s v="N"/>
  </r>
  <r>
    <n v="28"/>
    <s v="Aplicaciones de soporte"/>
    <s v="Mapa"/>
    <s v="MF-JH-0030"/>
    <s v="Soporte / Spring ERP / Gestión de Logistica / Mantenimiento de Oficinas"/>
    <s v="Infraestructura"/>
    <s v="Habilitación de infraestructura"/>
    <s v="Habilitar la infraestructura AWS"/>
    <s v="Técnica"/>
    <s v="Alta"/>
    <d v="2026-05-15T00:00:00"/>
    <m/>
    <d v="2026-05-15T00:00:00"/>
    <m/>
    <s v="Hector G."/>
    <b v="0"/>
    <x v="0"/>
    <s v="Soporte"/>
    <m/>
    <s v="N"/>
  </r>
  <r>
    <n v="29"/>
    <s v="Aplicaciones de soporte"/>
    <s v="Mapa"/>
    <s v="MF-JH-0031"/>
    <s v="Soporte / Spring ERP / Gestión de Logistica / Logistica de Mantenimiento de Almacén"/>
    <s v="Infraestructura"/>
    <s v="Habilitación de infraestructura"/>
    <s v="Habilitar la infraestructura AWS"/>
    <s v="Técnica"/>
    <s v="Alta"/>
    <d v="2026-05-15T00:00:00"/>
    <m/>
    <d v="2026-05-15T00:00:00"/>
    <m/>
    <s v="Hector G."/>
    <b v="0"/>
    <x v="0"/>
    <s v="Soporte"/>
    <m/>
    <s v="N"/>
  </r>
  <r>
    <n v="30"/>
    <s v="Aplicaciones de soporte"/>
    <s v="Mapa"/>
    <s v="MF-JH-0032"/>
    <s v="Soporte / Spring ERP / Gestión de Contratos / Asignación de presupuesto"/>
    <s v="Infraestructura"/>
    <s v="Habilitación de infraestructura"/>
    <s v="Habilitar la infraestructura AWS"/>
    <s v="Técnica"/>
    <s v="Alta"/>
    <d v="2026-05-15T00:00:00"/>
    <m/>
    <d v="2026-05-15T00:00:00"/>
    <m/>
    <s v="Hector G."/>
    <b v="0"/>
    <x v="0"/>
    <s v="Soporte"/>
    <m/>
    <s v="N"/>
  </r>
  <r>
    <n v="31"/>
    <s v="Aplicaciones de soporte"/>
    <s v="Mapa"/>
    <s v="MF-JH-0033"/>
    <s v="Soporte / Spring ERP / Gestión de Contratos / Registro de Contratos de proveedores"/>
    <s v="Infraestructura"/>
    <s v="Habilitación de infraestructura"/>
    <s v="Habilitar la infraestructura AWS"/>
    <s v="Técnica"/>
    <s v="Alta"/>
    <d v="2026-05-15T00:00:00"/>
    <m/>
    <d v="2026-05-15T00:00:00"/>
    <m/>
    <s v="Hector G."/>
    <b v="0"/>
    <x v="0"/>
    <s v="Soporte"/>
    <m/>
    <s v="N"/>
  </r>
  <r>
    <n v="32"/>
    <s v="Aplicaciones de soporte"/>
    <s v="Mapa"/>
    <s v="MF-JH-0034"/>
    <s v="Soporte / Spring ERP / Gestión de Contratos / Registro de adendas"/>
    <s v="Infraestructura"/>
    <s v="Habilitación de infraestructura"/>
    <s v="Habilitar la infraestructura AWS"/>
    <s v="Técnica"/>
    <s v="Alta"/>
    <d v="2026-05-15T00:00:00"/>
    <m/>
    <d v="2026-05-15T00:00:00"/>
    <m/>
    <s v="Hector G."/>
    <b v="0"/>
    <x v="0"/>
    <s v="Soporte"/>
    <m/>
    <s v="N"/>
  </r>
  <r>
    <n v="33"/>
    <s v="Aplicaciones de soporte"/>
    <s v="Mapa"/>
    <s v="MF-JH-0035"/>
    <s v="Soporte / Spring ERP / Gestión de Contratos / Actualización de saldos"/>
    <s v="Infraestructura"/>
    <s v="Habilitación de infraestructura"/>
    <s v="Habilitar la infraestructura AWS"/>
    <s v="Técnica"/>
    <s v="Alta"/>
    <d v="2026-05-15T00:00:00"/>
    <m/>
    <d v="2026-05-15T00:00:00"/>
    <m/>
    <s v="Hector G."/>
    <b v="0"/>
    <x v="0"/>
    <s v="Soporte"/>
    <m/>
    <s v="N"/>
  </r>
  <r>
    <n v="34"/>
    <s v="Aplicaciones de soporte"/>
    <s v="Mapa"/>
    <s v="MF-JH-0036"/>
    <s v="Soporte / Spring ERP / Pago de Obligaciones / Pagos de servicios públicos (agua, luz, etc)"/>
    <s v="Infraestructura"/>
    <s v="Habilitación de infraestructura"/>
    <s v="Habilitar la infraestructura AWS"/>
    <s v="Técnica"/>
    <s v="Alta"/>
    <d v="2026-05-15T00:00:00"/>
    <m/>
    <d v="2026-05-15T00:00:00"/>
    <m/>
    <s v="Hector G."/>
    <b v="0"/>
    <x v="0"/>
    <s v="Soporte"/>
    <m/>
    <s v="N"/>
  </r>
  <r>
    <n v="35"/>
    <s v="Aplicaciones de soporte"/>
    <s v="Mapa"/>
    <s v="MF-JH-0037"/>
    <s v="Soporte / Spring ERP / Pago de Obligaciones / Pagos de servicios públicos (agua, luz, etc)"/>
    <s v="Infraestructura"/>
    <s v="Habilitación de infraestructura"/>
    <s v="Habilitar la infraestructura AWS"/>
    <s v="Técnica"/>
    <s v="Alta"/>
    <d v="2026-05-15T00:00:00"/>
    <m/>
    <d v="2026-05-15T00:00:00"/>
    <m/>
    <s v="Hector G."/>
    <b v="0"/>
    <x v="0"/>
    <s v="Soporte"/>
    <m/>
    <s v="N"/>
  </r>
  <r>
    <n v="36"/>
    <s v="Aplicaciones de soporte"/>
    <s v="Mapa"/>
    <s v="MF-JH-0002"/>
    <s v="Soporte / Spring ERP / Pago de Obligaciones / Habilitación de plantilla Telebanking"/>
    <s v="Infraestructura"/>
    <s v="Habilitación de infraestructura"/>
    <s v="Habilitar la infraestructura AWS"/>
    <s v="Técnica"/>
    <s v="Alta"/>
    <d v="2026-05-15T00:00:00"/>
    <m/>
    <d v="2026-05-15T00:00:00"/>
    <m/>
    <s v="Hector G."/>
    <b v="0"/>
    <x v="0"/>
    <s v="Soporte"/>
    <m/>
    <s v="N"/>
  </r>
  <r>
    <n v="37"/>
    <s v="Aplicaciones de soporte"/>
    <s v="Mapa"/>
    <s v="MF-JH-0003"/>
    <s v="Soporte / Spring ERP / Pago de Obligaciones / Habilitación de plantilla SUNAT"/>
    <s v="Infraestructura"/>
    <s v="Habilitación de infraestructura"/>
    <s v="Habilitar la infraestructura AWS"/>
    <s v="Técnica"/>
    <s v="Alta"/>
    <d v="2026-05-15T00:00:00"/>
    <m/>
    <d v="2026-05-15T00:00:00"/>
    <m/>
    <s v="Hector G."/>
    <b v="0"/>
    <x v="0"/>
    <s v="Soporte"/>
    <m/>
    <s v="N"/>
  </r>
  <r>
    <n v="38"/>
    <s v="Aplicaciones de soporte"/>
    <s v="Mapa"/>
    <s v="MF-JH-0004"/>
    <s v="Soporte / Spring ERP / Pago de Obligaciones / Habilitación de Sincronización de Empleados Adryan"/>
    <s v="Infraestructura"/>
    <s v="Habilitación de infraestructura"/>
    <s v="Habilitar la infraestructura AWS"/>
    <s v="Técnica"/>
    <s v="Alta"/>
    <d v="2026-05-15T00:00:00"/>
    <m/>
    <d v="2026-05-15T00:00:00"/>
    <m/>
    <s v="Hector G."/>
    <b v="0"/>
    <x v="0"/>
    <s v="Soporte"/>
    <m/>
    <s v="N"/>
  </r>
  <r>
    <n v="39"/>
    <s v="Aplicaciones de soporte"/>
    <s v="Mapa"/>
    <s v="MF-JH-0005"/>
    <s v="Soporte / Spring ERP / Gestión Contable / Habilitación de Asientos Contables con el Core"/>
    <s v="Infraestructura"/>
    <s v="Habilitación de infraestructura"/>
    <s v="Habilitar la infraestructura AWS"/>
    <s v="Técnica"/>
    <s v="Alta"/>
    <d v="2026-05-15T00:00:00"/>
    <m/>
    <d v="2026-05-15T00:00:00"/>
    <m/>
    <s v="Hector G."/>
    <b v="0"/>
    <x v="0"/>
    <s v="Soporte"/>
    <m/>
    <s v="N"/>
  </r>
  <r>
    <n v="40"/>
    <s v="Aplicaciones de soporte"/>
    <s v="Mapa"/>
    <s v="MF-JH-0038"/>
    <s v="Soporte / Spring ERP / Pago de Obligaciones / Cuentas por pagar/cobrar"/>
    <s v="Infraestructura"/>
    <s v="Habilitación de infraestructura"/>
    <s v="Habilitar la infraestructura AWS"/>
    <s v="Técnica"/>
    <s v="Alta"/>
    <d v="2026-05-15T00:00:00"/>
    <m/>
    <d v="2026-05-15T00:00:00"/>
    <m/>
    <s v="Hector G."/>
    <b v="0"/>
    <x v="0"/>
    <s v="Soporte"/>
    <m/>
    <s v="N"/>
  </r>
  <r>
    <n v="41"/>
    <s v="Aplicaciones de soporte"/>
    <s v="Mapa"/>
    <s v="MF-JH-0039"/>
    <s v="Soporte / Spring ERP / Gestión de activos / Alta y Baja de Activos fijos"/>
    <s v="Infraestructura"/>
    <s v="Habilitación de infraestructura"/>
    <s v="Habilitar la infraestructura AWS"/>
    <s v="Técnica"/>
    <s v="Alta"/>
    <d v="2026-05-15T00:00:00"/>
    <m/>
    <d v="2026-05-15T00:00:00"/>
    <m/>
    <s v="Hector G."/>
    <b v="0"/>
    <x v="0"/>
    <s v="Soporte"/>
    <m/>
    <s v="N"/>
  </r>
  <r>
    <n v="42"/>
    <s v="Aplicaciones de soporte"/>
    <s v="Mapa"/>
    <s v="MF-JH-0040"/>
    <s v="Soporte / Spring ERP / Presupuesto / Control de Presupuesto"/>
    <s v="Infraestructura"/>
    <s v="Habilitación de infraestructura"/>
    <s v="Habilitar la infraestructura AWS"/>
    <s v="Técnica"/>
    <s v="Alta"/>
    <d v="2026-05-15T00:00:00"/>
    <m/>
    <d v="2026-05-15T00:00:00"/>
    <m/>
    <s v="Hector G."/>
    <b v="0"/>
    <x v="0"/>
    <s v="Soporte"/>
    <m/>
    <s v="N"/>
  </r>
  <r>
    <n v="43"/>
    <s v="Aplicaciones de soporte"/>
    <s v="Mapa"/>
    <s v="MF-JH-0041"/>
    <s v="Soporte / Spring ERP / Presupuesto / Inicial de presupuesto anual"/>
    <s v="Infraestructura"/>
    <s v="Habilitación de infraestructura"/>
    <s v="Habilitar la infraestructura AWS"/>
    <s v="Técnica"/>
    <s v="Alta"/>
    <d v="2026-05-15T00:00:00"/>
    <m/>
    <d v="2026-05-15T00:00:00"/>
    <m/>
    <s v="Hector G."/>
    <b v="0"/>
    <x v="0"/>
    <s v="Soporte"/>
    <m/>
    <s v="N"/>
  </r>
  <r>
    <n v="44"/>
    <s v="Aplicaciones de soporte"/>
    <s v="Mapa"/>
    <s v="MF-JH-0042"/>
    <s v="Soporte / Spring ERP / Pago de Obligaciones / Recepción de facturas"/>
    <s v="Infraestructura"/>
    <s v="Habilitación de infraestructura"/>
    <s v="Habilitar la infraestructura AWS"/>
    <s v="Técnica"/>
    <s v="Alta"/>
    <d v="2026-05-15T00:00:00"/>
    <m/>
    <d v="2026-05-15T00:00:00"/>
    <m/>
    <s v="Hector G."/>
    <b v="0"/>
    <x v="0"/>
    <s v="Soporte"/>
    <m/>
    <s v="N"/>
  </r>
  <r>
    <n v="45"/>
    <s v="Aplicaciones de soporte"/>
    <s v="Mapa"/>
    <s v="MF-JH-0043"/>
    <s v="Soporte / Spring ERP / Gestión de Contratos / Registro de Contratos de proveedores"/>
    <s v="Infraestructura"/>
    <s v="Habilitación de infraestructura"/>
    <s v="Habilitar la infraestructura AWS"/>
    <s v="Técnica"/>
    <s v="Alta"/>
    <d v="2026-05-15T00:00:00"/>
    <m/>
    <d v="2026-05-15T00:00:00"/>
    <m/>
    <s v="Hector G."/>
    <b v="0"/>
    <x v="0"/>
    <s v="Soporte"/>
    <m/>
    <s v="N"/>
  </r>
  <r>
    <n v="46"/>
    <s v="Aplicaciones de soporte"/>
    <s v="Mapa"/>
    <s v="MF-JH-0044"/>
    <s v="Soporte / Spring ERP / Pago de Obligaciones / Pago a Proveedores"/>
    <s v="Infraestructura"/>
    <s v="Habilitación de infraestructura"/>
    <s v="Habilitar la infraestructura AWS"/>
    <s v="Técnica"/>
    <s v="Alta"/>
    <d v="2026-05-15T00:00:00"/>
    <m/>
    <d v="2026-05-15T00:00:00"/>
    <m/>
    <s v="Hector G."/>
    <b v="0"/>
    <x v="0"/>
    <s v="Soporte"/>
    <m/>
    <s v="N"/>
  </r>
  <r>
    <n v="47"/>
    <s v="Aplicaciones de soporte"/>
    <s v="Mapa"/>
    <s v="MF-JH-0045"/>
    <s v="Soporte / Spring ERP / Pago de Obligaciones / Aprobación de facturas"/>
    <s v="Infraestructura"/>
    <s v="Habilitación de infraestructura"/>
    <s v="Habilitar la infraestructura AWS"/>
    <s v="Técnica"/>
    <s v="Alta"/>
    <d v="2026-05-15T00:00:00"/>
    <m/>
    <d v="2026-05-15T00:00:00"/>
    <m/>
    <s v="Hector G."/>
    <b v="0"/>
    <x v="0"/>
    <s v="Soporte"/>
    <m/>
    <s v="N"/>
  </r>
  <r>
    <n v="48"/>
    <s v="Aplicaciones de soporte"/>
    <s v="Mapa"/>
    <s v="MF-JH-0046"/>
    <s v="Soporte / Spring ERP / Pago de Obligaciones / Pago de tributo e impuestos"/>
    <s v="Infraestructura"/>
    <s v="Habilitación de infraestructura"/>
    <s v="Habilitar la infraestructura AWS"/>
    <s v="Técnica"/>
    <s v="Alta"/>
    <d v="2026-05-15T00:00:00"/>
    <m/>
    <d v="2026-05-15T00:00:00"/>
    <m/>
    <s v="Hector G."/>
    <b v="0"/>
    <x v="0"/>
    <s v="Soporte"/>
    <m/>
    <s v="N"/>
  </r>
  <r>
    <n v="49"/>
    <s v="Aplicaciones de soporte"/>
    <s v="Mapa"/>
    <s v="MF-JH-0047"/>
    <s v="Soporte / Spring ERP / Gestión Contable / Generación de Asientos Contables"/>
    <s v="Infraestructura"/>
    <s v="Habilitación de infraestructura"/>
    <s v="Habilitar la infraestructura AWS"/>
    <s v="Técnica"/>
    <s v="Alta"/>
    <d v="2026-05-15T00:00:00"/>
    <m/>
    <d v="2026-05-15T00:00:00"/>
    <m/>
    <s v="Hector G."/>
    <b v="0"/>
    <x v="0"/>
    <s v="Soporte"/>
    <m/>
    <s v="N"/>
  </r>
  <r>
    <n v="50"/>
    <s v="Aplicaciones de soporte"/>
    <s v="Mapa"/>
    <s v="MF-JH-0048"/>
    <s v="Soporte / Spring ERP / Gestión Contable / Cierre Contable"/>
    <s v="Infraestructura"/>
    <s v="Habilitación de infraestructura"/>
    <s v="Habilitar la infraestructura AWS"/>
    <s v="Técnica"/>
    <s v="Alta"/>
    <d v="2026-05-15T00:00:00"/>
    <m/>
    <d v="2026-05-15T00:00:00"/>
    <m/>
    <s v="Hector G."/>
    <b v="0"/>
    <x v="0"/>
    <s v="Soporte"/>
    <m/>
    <s v="N"/>
  </r>
  <r>
    <n v="51"/>
    <s v="Aplicaciones de soporte"/>
    <s v="Mapa"/>
    <s v="MF-JH-0049"/>
    <s v="Soporte / Spring ERP / Reportes / Reportes y Consultas"/>
    <s v="Infraestructura"/>
    <s v="Habilitación de infraestructura"/>
    <s v="Habilitar la infraestructura AWS"/>
    <s v="Técnica"/>
    <s v="Alta"/>
    <d v="2026-05-15T00:00:00"/>
    <m/>
    <d v="2026-05-15T00:00:00"/>
    <m/>
    <s v="Hector G."/>
    <b v="0"/>
    <x v="0"/>
    <s v="Soporte"/>
    <m/>
    <s v="N"/>
  </r>
  <r>
    <n v="53"/>
    <s v="Aplicaciones de soporte"/>
    <s v="Mapa"/>
    <s v="MF-JH-0026"/>
    <s v="Soporte / Modellica (Motor de Cobranzas)"/>
    <s v="Cards y Payments"/>
    <s v="Definición de archivos y campos de Izipay para TC"/>
    <s v="Definición de archivos y campos de Izipay para TC"/>
    <s v="Técnica"/>
    <s v="Alta"/>
    <d v="2026-03-27T00:00:00"/>
    <m/>
    <s v="TBD"/>
    <m/>
    <s v="Freddy C."/>
    <b v="1"/>
    <x v="0"/>
    <s v="Soporte"/>
    <m/>
    <s v="S"/>
  </r>
  <r>
    <n v="54"/>
    <s v="Aplicaciones de soporte"/>
    <s v="Mapa"/>
    <s v="MF-JH-0007"/>
    <s v="Soporte / Consulta en Línea (RENIEC) / Consulta de la Ficha RENIEC"/>
    <s v="Infraestructura"/>
    <s v="Habilitación de infraestructura"/>
    <s v="Habilitación de infraestructura en OnPremise y AWS"/>
    <s v="Técnica"/>
    <s v="Alta"/>
    <d v="2026-03-30T00:00:00"/>
    <d v="2026-04-20T00:00:00"/>
    <d v="2026-04-30T00:00:00"/>
    <m/>
    <s v="Hector G."/>
    <b v="1"/>
    <x v="2"/>
    <s v="Soporte"/>
    <m/>
    <s v="S"/>
  </r>
  <r>
    <n v="55"/>
    <s v="Aplicaciones de soporte"/>
    <s v="Mapa"/>
    <s v="MF-JH-0007"/>
    <s v="Soporte / Consulta en Línea (RENIEC) / Consulta de la Ficha RENIEC"/>
    <s v="Proveedor Synopsis"/>
    <s v="Despliegue de la Solución"/>
    <s v="Despliegue de Solución de Synopsis en OnPremise y AWS"/>
    <s v="Técnica"/>
    <s v="Alta"/>
    <d v="2026-04-30T00:00:00"/>
    <m/>
    <d v="2026-05-29T00:00:00"/>
    <m/>
    <s v="Jaime H."/>
    <b v="1"/>
    <x v="0"/>
    <s v="Soporte"/>
    <m/>
    <s v="S"/>
  </r>
  <r>
    <n v="56"/>
    <s v="Aplicaciones de soporte"/>
    <s v="Mapa"/>
    <s v="MF-JH-0025"/>
    <s v="Soporte / Consulta en Línea (RENIEC) / Reporte diario de todas las consultas de la Ficha RENIEC por usuario"/>
    <s v="Proveedor Synopsis"/>
    <s v="Despliegue de la Solución"/>
    <s v="Despliegue de Solución de Synopsis en OnPremise y AWS"/>
    <s v="Técnica"/>
    <s v="Alta"/>
    <d v="2026-04-30T00:00:00"/>
    <m/>
    <d v="2026-05-29T00:00:00"/>
    <m/>
    <s v="Jaime H."/>
    <b v="1"/>
    <x v="0"/>
    <s v="Soporte"/>
    <m/>
    <s v="S"/>
  </r>
  <r>
    <n v="57"/>
    <s v="Aplicaciones de soporte"/>
    <s v="Mapa"/>
    <s v="MF-JH-0007"/>
    <s v="Soporte / Consulta en Línea (RENIEC) / Consulta de la Ficha RENIEC"/>
    <s v="RENIEC"/>
    <s v="Habilitación de ambiente Pruebas"/>
    <s v="Habilitación de ambiente de Pruebas"/>
    <s v="Técnica"/>
    <s v="Alta"/>
    <d v="2026-04-30T00:00:00"/>
    <m/>
    <d v="2026-05-29T00:00:00"/>
    <m/>
    <s v="RENIEC"/>
    <b v="1"/>
    <x v="3"/>
    <s v="Soporte"/>
    <m/>
    <s v="S"/>
  </r>
  <r>
    <n v="58"/>
    <s v="Aplicaciones de soporte"/>
    <s v="Mapa"/>
    <s v="MF-JH-0025"/>
    <s v="Soporte / Consulta en Línea (RENIEC) / Reporte diario de todas las consultas de la Ficha RENIEC por usuario"/>
    <s v="RENIEC"/>
    <s v="Habilitación de ambiente Pruebas"/>
    <s v="Habilitación de ambiente de Pruebas"/>
    <s v="Técnica"/>
    <s v="Alta"/>
    <d v="2026-04-30T00:00:00"/>
    <m/>
    <d v="2026-05-29T00:00:00"/>
    <m/>
    <s v="RENIEC"/>
    <b v="1"/>
    <x v="3"/>
    <s v="Soporte"/>
    <m/>
    <s v="S"/>
  </r>
  <r>
    <n v="59"/>
    <s v="Aplicaciones de soporte"/>
    <s v="Mapa"/>
    <s v="MF-JH-0007"/>
    <s v="Soporte / Consulta en Línea (RENIEC)"/>
    <s v="Bantotal"/>
    <s v="Habilitación Pantalla"/>
    <s v="Habilitación de pantalla de consulta dentro de Bantotal Web"/>
    <s v="Técnica"/>
    <s v="Alta"/>
    <d v="2026-04-30T00:00:00"/>
    <m/>
    <m/>
    <m/>
    <s v="Julio P."/>
    <b v="1"/>
    <x v="0"/>
    <s v="Soporte"/>
    <s v="Pendiente Rpta Bantotal"/>
    <s v="S"/>
  </r>
  <r>
    <n v="60"/>
    <s v="Aplicaciones de soporte"/>
    <s v="Mapa"/>
    <s v="M-X"/>
    <s v="Soporte / Modellica (Admisión Crediticia)"/>
    <s v="Data"/>
    <s v="Disponibilización de información"/>
    <s v="Tablas de información de RCC, Core (mora) y Riesgos"/>
    <s v="Técnica"/>
    <s v="Alta"/>
    <d v="2026-04-30T00:00:00"/>
    <m/>
    <m/>
    <m/>
    <s v="Jean A."/>
    <b v="1"/>
    <x v="1"/>
    <s v="Soporte"/>
    <s v="Pendiente acordar fecha"/>
    <s v="S"/>
  </r>
  <r>
    <n v="61"/>
    <s v="Aplicaciones de soporte"/>
    <s v="Mapa"/>
    <s v="M-X"/>
    <s v="Soporte / Modellica (Admisión Crediticia)"/>
    <s v="Integración"/>
    <s v="Integracion de MS"/>
    <s v="Publicar APIs"/>
    <s v="Técnica"/>
    <s v="Alta"/>
    <d v="2026-04-30T00:00:00"/>
    <m/>
    <d v="2026-04-30T00:00:00"/>
    <m/>
    <s v="Jorge P."/>
    <b v="1"/>
    <x v="0"/>
    <s v="Soporte"/>
    <m/>
    <s v="S"/>
  </r>
  <r>
    <n v="62"/>
    <s v="Aplicaciones de soporte"/>
    <s v="Mapa"/>
    <s v="MF-JH-0025"/>
    <s v="Soporte / Consulta en Línea (RENIEC) / Reporte diario de todas las consultas de la Ficha RENIEC por usuario"/>
    <s v="Infraestructura"/>
    <s v="Habilitación de infraestructura"/>
    <s v="Habilitación de infraestructura en OnPremise y AWS"/>
    <s v="Técnica"/>
    <s v="Alta"/>
    <d v="2026-03-30T00:00:00"/>
    <d v="2026-04-20T00:00:00"/>
    <d v="2026-04-30T00:00:00"/>
    <m/>
    <s v="Hector G."/>
    <b v="1"/>
    <x v="2"/>
    <s v="Soporte"/>
    <m/>
    <s v="S"/>
  </r>
  <r>
    <n v="63"/>
    <s v="Aplicaciones de soporte"/>
    <s v="Mapa"/>
    <s v="M-X"/>
    <s v="Soporte / KYC"/>
    <s v="Integración"/>
    <s v="Integracion de MS"/>
    <s v="Integrar microservicios con canonicas"/>
    <s v="Técnica"/>
    <s v="Alta"/>
    <d v="2026-04-06T00:00:00"/>
    <d v="2026-04-17T00:00:00"/>
    <d v="2026-04-06T00:00:00"/>
    <m/>
    <s v="Jorge P."/>
    <b v="1"/>
    <x v="2"/>
    <s v="Soporte"/>
    <m/>
    <s v="S"/>
  </r>
  <r>
    <n v="64"/>
    <s v="Aplicaciones de soporte"/>
    <s v="Mapa"/>
    <s v="M-X"/>
    <s v="Soporte / Modellica (Admisión Crediticia)"/>
    <s v="Integración"/>
    <s v="Payload de respuesta del WatchList"/>
    <s v="Agregar campos adicionales para la Mesa de Conseciones y Modellica (Admisión Crediticia) cuando se hace match con alguna lista"/>
    <s v="Técnica"/>
    <s v="Alta"/>
    <d v="2026-04-30T00:00:00"/>
    <m/>
    <m/>
    <m/>
    <s v="Jorge P."/>
    <b v="1"/>
    <x v="0"/>
    <s v="Soporte"/>
    <s v="Pendiente acordar fecha"/>
    <s v="S"/>
  </r>
  <r>
    <n v="65"/>
    <s v="Aplicaciones de soporte"/>
    <s v="Mapa"/>
    <s v="MF-JH-0026"/>
    <s v="Soporte / Modellica (Motor de Cobranzas)"/>
    <s v="Data"/>
    <s v="Disponibilización de archivos"/>
    <s v="Archivos de información del Core, TC, Riesgos y CyberFinancial"/>
    <s v="Técnica"/>
    <s v="Alta"/>
    <d v="2026-04-30T00:00:00"/>
    <m/>
    <d v="2026-09-28T00:00:00"/>
    <m/>
    <s v="Jean A."/>
    <b v="1"/>
    <x v="1"/>
    <s v="Soporte"/>
    <m/>
    <s v="S"/>
  </r>
  <r>
    <n v="66"/>
    <s v="Aplicaciones de soporte"/>
    <s v="Mapa"/>
    <s v="MF-JH-0008"/>
    <s v="Soporte / Adryan Web / Estructura y Organización / Módulo de Organización (Unidades, Centros de Costo, Ubicaciones)"/>
    <s v="Comunication Manager"/>
    <s v="Habilitación de interfaz de correos"/>
    <s v="Habilitar el envio de correos internos y/o externos"/>
    <s v="Técnica"/>
    <s v="Alta"/>
    <d v="2026-05-15T00:00:00"/>
    <m/>
    <s v="TBD"/>
    <m/>
    <s v="Willy V"/>
    <b v="0"/>
    <x v="1"/>
    <s v="Soporte"/>
    <m/>
    <s v="N"/>
  </r>
  <r>
    <n v="67"/>
    <s v="Aplicaciones de soporte"/>
    <s v="Mapa"/>
    <s v="MF-JH-0009"/>
    <s v="Soporte / Adryan Web / Estructura y Organización / Módulo de Gestión de Puestos"/>
    <s v="Comunication Manager"/>
    <s v="Habilitación de interfaz de correos"/>
    <s v="Habilitar el envio de correos internos y/o externos"/>
    <s v="Técnica"/>
    <s v="Alta"/>
    <d v="2026-05-15T00:00:00"/>
    <m/>
    <s v="TBD"/>
    <m/>
    <s v="Willy V"/>
    <b v="0"/>
    <x v="1"/>
    <s v="Soporte"/>
    <m/>
    <s v="N"/>
  </r>
  <r>
    <n v="68"/>
    <s v="Aplicaciones de soporte"/>
    <s v="Mapa"/>
    <s v="MF-JH-0010"/>
    <s v="Soporte / Adryan Web / Gestión de Personal / Módulo de Administración de Personal (Datos, Contratos - 20 modelos)"/>
    <s v="Comunication Manager"/>
    <s v="Habilitación de interfaz de correos"/>
    <s v="Habilitar el envio de correos internos y/o externos"/>
    <s v="Técnica"/>
    <s v="Alta"/>
    <d v="2026-05-15T00:00:00"/>
    <m/>
    <s v="TBD"/>
    <m/>
    <s v="Willy V"/>
    <b v="0"/>
    <x v="1"/>
    <s v="Soporte"/>
    <m/>
    <s v="N"/>
  </r>
  <r>
    <n v="69"/>
    <s v="Aplicaciones de soporte"/>
    <s v="Mapa"/>
    <s v="MF-JH-0011"/>
    <s v="Soporte / Adryan Web / Gestión de Personal / Módulo de Movimiento de Personal (Cambios, Cesaciones)"/>
    <s v="Comunication Manager"/>
    <s v="Habilitación de interfaz de correos"/>
    <s v="Habilitar el envio de correos internos y/o externos"/>
    <s v="Técnica"/>
    <s v="Alta"/>
    <d v="2026-05-15T00:00:00"/>
    <m/>
    <s v="TBD"/>
    <m/>
    <s v="Willy V"/>
    <b v="0"/>
    <x v="1"/>
    <s v="Soporte"/>
    <m/>
    <s v="N"/>
  </r>
  <r>
    <n v="70"/>
    <s v="Aplicaciones de soporte"/>
    <s v="Mapa"/>
    <s v="MF-JH-0012"/>
    <s v="Soporte / Adryan Web / Gestión de Personal / Módulo de Actualización de Datos"/>
    <s v="Comunication Manager"/>
    <s v="Habilitación de interfaz de correos"/>
    <s v="Habilitar el envio de correos internos y/o externos"/>
    <s v="Técnica"/>
    <s v="Alta"/>
    <d v="2026-05-15T00:00:00"/>
    <m/>
    <s v="TBD"/>
    <m/>
    <s v="Willy V"/>
    <b v="0"/>
    <x v="1"/>
    <s v="Soporte"/>
    <m/>
    <s v="N"/>
  </r>
  <r>
    <n v="71"/>
    <s v="Aplicaciones de soporte"/>
    <s v="Mapa"/>
    <s v="MF-JH-0013"/>
    <s v="Soporte / Adryan Web / Control de Asistencia / Módulo de Asistencia (Turnos, Permisos, Licencias)"/>
    <s v="Comunication Manager"/>
    <s v="Habilitación de interfaz de correos"/>
    <s v="Habilitar el envio de correos internos y/o externos"/>
    <s v="Técnica"/>
    <s v="Alta"/>
    <d v="2026-05-15T00:00:00"/>
    <m/>
    <s v="TBD"/>
    <m/>
    <s v="Willy V"/>
    <b v="0"/>
    <x v="1"/>
    <s v="Soporte"/>
    <m/>
    <s v="N"/>
  </r>
  <r>
    <n v="72"/>
    <s v="Aplicaciones de soporte"/>
    <s v="Mapa"/>
    <s v="MF-JH-0014"/>
    <s v="Soporte / Adryan Web / Control de Asistencia / Reportes de ausencias, tardanzas, horas extras"/>
    <s v="Comunication Manager"/>
    <s v="Habilitación de interfaz de correos"/>
    <s v="Habilitar el envio de correos internos y/o externos"/>
    <s v="Técnica"/>
    <s v="Alta"/>
    <d v="2026-05-15T00:00:00"/>
    <m/>
    <s v="TBD"/>
    <m/>
    <s v="Willy V"/>
    <b v="0"/>
    <x v="1"/>
    <s v="Soporte"/>
    <m/>
    <s v="N"/>
  </r>
  <r>
    <n v="73"/>
    <s v="Aplicaciones de soporte"/>
    <s v="Mapa"/>
    <s v="MF-JH-0015"/>
    <s v="Soporte / Adryan Web / Gestión de Vacaciones / Módulo de Solicitud de Vacaciones (con notificaciones)"/>
    <s v="Comunication Manager"/>
    <s v="Habilitación de interfaz de correos"/>
    <s v="Habilitar el envio de correos internos y/o externos"/>
    <s v="Técnica"/>
    <s v="Alta"/>
    <d v="2026-05-15T00:00:00"/>
    <m/>
    <s v="TBD"/>
    <m/>
    <s v="Willy V"/>
    <b v="0"/>
    <x v="1"/>
    <s v="Soporte"/>
    <m/>
    <s v="N"/>
  </r>
  <r>
    <n v="74"/>
    <s v="Aplicaciones de soporte"/>
    <s v="Mapa"/>
    <s v="MF-JH-0016"/>
    <s v="Soporte / Adryan Web / Gestión de Vacaciones / Reportes de vacaciones gozadas y pendientes"/>
    <s v="Comunication Manager"/>
    <s v="Habilitación de interfaz de correos"/>
    <s v="Habilitar el envio de correos internos y/o externos"/>
    <s v="Técnica"/>
    <s v="Alta"/>
    <d v="2026-05-15T00:00:00"/>
    <m/>
    <s v="TBD"/>
    <m/>
    <s v="Willy V"/>
    <b v="0"/>
    <x v="1"/>
    <s v="Soporte"/>
    <m/>
    <s v="N"/>
  </r>
  <r>
    <n v="75"/>
    <s v="Aplicaciones de soporte"/>
    <s v="Mapa"/>
    <s v="MF-JH-0017"/>
    <s v="Soporte / Adryan Web / Compensación y Nómina / Módulo de Administración de Planillas (Conceptos, Cálculos)"/>
    <s v="Comunication Manager"/>
    <s v="Habilitación de interfaz de correos"/>
    <s v="Habilitar el envio de correos internos y/o externos"/>
    <s v="Técnica"/>
    <s v="Alta"/>
    <d v="2026-05-15T00:00:00"/>
    <m/>
    <s v="TBD"/>
    <m/>
    <s v="Willy V"/>
    <b v="0"/>
    <x v="1"/>
    <s v="Soporte"/>
    <m/>
    <s v="N"/>
  </r>
  <r>
    <n v="76"/>
    <s v="Aplicaciones de soporte"/>
    <s v="Mapa"/>
    <s v="MF-JH-0018"/>
    <s v="Soporte / Adryan Web / Compensación y Nómina / Cálculo de CTS, Utilidades, Vacaciones"/>
    <s v="Comunication Manager"/>
    <s v="Habilitación de interfaz de correos"/>
    <s v="Habilitar el envio de correos internos y/o externos"/>
    <s v="Técnica"/>
    <s v="Alta"/>
    <d v="2026-05-15T00:00:00"/>
    <m/>
    <s v="TBD"/>
    <m/>
    <s v="Willy V"/>
    <b v="0"/>
    <x v="1"/>
    <s v="Soporte"/>
    <m/>
    <s v="N"/>
  </r>
  <r>
    <n v="77"/>
    <s v="Aplicaciones de soporte"/>
    <s v="Mapa"/>
    <s v="MF-JH-0019"/>
    <s v="Soporte / Adryan Web / Compensación y Nómina / Liquidación masiva de cesados"/>
    <s v="Comunication Manager"/>
    <s v="Habilitación de interfaz de correos"/>
    <s v="Habilitar el envio de correos internos y/o externos"/>
    <s v="Técnica"/>
    <s v="Alta"/>
    <d v="2026-05-15T00:00:00"/>
    <m/>
    <s v="TBD"/>
    <m/>
    <s v="Willy V"/>
    <b v="0"/>
    <x v="1"/>
    <s v="Soporte"/>
    <m/>
    <s v="N"/>
  </r>
  <r>
    <n v="78"/>
    <s v="Aplicaciones de soporte"/>
    <s v="Mapa"/>
    <s v="MF-JH-0021"/>
    <s v="Soporte / Adryan Web / Compensación y Nómina / Envío de asientos a Bantotal (PLAME, T-Registro, INEI, SBS)"/>
    <s v="Comunication Manager"/>
    <s v="Habilitación de interfaz de correos"/>
    <s v="Habilitar el envio de correos internos y/o externos"/>
    <s v="Técnica"/>
    <s v="Alta"/>
    <d v="2026-05-15T00:00:00"/>
    <m/>
    <s v="TBD"/>
    <m/>
    <s v="Willy V"/>
    <b v="0"/>
    <x v="1"/>
    <s v="Soporte"/>
    <m/>
    <s v="N"/>
  </r>
  <r>
    <n v="79"/>
    <s v="Aplicaciones de soporte"/>
    <s v="Mapa"/>
    <s v="MF-JH-0022"/>
    <s v="Soporte / Adryan Web / Gestión de Contratos / Módulo de Renovación de Contratos (20 modelos personalizados)"/>
    <s v="Comunication Manager"/>
    <s v="Habilitación de interfaz de correos"/>
    <s v="Habilitar el envio de correos internos y/o externos"/>
    <s v="Técnica"/>
    <s v="Alta"/>
    <d v="2026-05-15T00:00:00"/>
    <m/>
    <s v="TBD"/>
    <m/>
    <s v="Willy V"/>
    <b v="0"/>
    <x v="1"/>
    <s v="Soporte"/>
    <m/>
    <s v="N"/>
  </r>
  <r>
    <n v="80"/>
    <s v="Aplicaciones de soporte"/>
    <s v="Mapa"/>
    <s v="MF-JH-0023"/>
    <s v="Soporte / Adryan Web / Documentos y Autoservicio / Módulo de Autoservicio (Boletas, CTS, Utilidades, Quinta, Certificados)"/>
    <s v="Comunication Manager"/>
    <s v="Habilitación de interfaz de correos"/>
    <s v="Habilitar el envio de correos internos y/o externos"/>
    <s v="Técnica"/>
    <s v="Alta"/>
    <d v="2026-05-15T00:00:00"/>
    <m/>
    <s v="TBD"/>
    <m/>
    <s v="Willy V"/>
    <b v="0"/>
    <x v="1"/>
    <s v="Soporte"/>
    <m/>
    <s v="N"/>
  </r>
  <r>
    <n v="81"/>
    <s v="Aplicaciones de soporte"/>
    <s v="Mapa"/>
    <s v="MF-JH-0024"/>
    <s v="Soporte / Adryan Web / Documentos y Autoservicio / Módulo Generador de Reportes personalizados"/>
    <s v="Comunication Manager"/>
    <s v="Habilitación de interfaz de correos"/>
    <s v="Habilitar el envio de correos internos y/o externos"/>
    <s v="Técnica"/>
    <s v="Alta"/>
    <d v="2026-05-15T00:00:00"/>
    <m/>
    <s v="TBD"/>
    <m/>
    <s v="Willy V"/>
    <b v="0"/>
    <x v="1"/>
    <s v="Soporte"/>
    <m/>
    <s v="N"/>
  </r>
  <r>
    <n v="82"/>
    <s v="Aplicaciones de soporte"/>
    <s v="Mapa"/>
    <s v="MF-JH-0001"/>
    <s v="Soporte / Adryan Web"/>
    <s v="Core"/>
    <s v="Definición de interfaces contables"/>
    <m/>
    <s v="Técnica"/>
    <s v="Alta"/>
    <d v="2026-05-15T00:00:00"/>
    <m/>
    <m/>
    <m/>
    <s v="Julio P."/>
    <b v="0"/>
    <x v="0"/>
    <s v="Soporte"/>
    <s v="Depende de sesiones con Prov.y Edwin P."/>
    <s v="N"/>
  </r>
  <r>
    <n v="83"/>
    <s v="Aplicaciones de soporte"/>
    <s v="Mapa"/>
    <s v="MF-JH-0027"/>
    <s v="Soporte / Monitor"/>
    <s v="Core "/>
    <s v="Proceso Batch"/>
    <s v="Generacion de interfaces ( cliente - producto - transsacciones)"/>
    <s v="Técnica"/>
    <s v="Baja"/>
    <d v="2026-04-15T00:00:00"/>
    <m/>
    <s v="TBD"/>
    <m/>
    <s v="Julio P."/>
    <b v="1"/>
    <x v="0"/>
    <s v="Soporte"/>
    <m/>
    <s v="S"/>
  </r>
  <r>
    <m/>
    <m/>
    <m/>
    <m/>
    <m/>
    <m/>
    <m/>
    <m/>
    <m/>
    <m/>
    <m/>
    <m/>
    <m/>
    <m/>
    <m/>
    <m/>
    <x v="4"/>
    <m/>
    <m/>
    <m/>
  </r>
  <r>
    <m/>
    <m/>
    <m/>
    <m/>
    <m/>
    <m/>
    <m/>
    <m/>
    <m/>
    <m/>
    <m/>
    <m/>
    <m/>
    <m/>
    <m/>
    <m/>
    <x v="4"/>
    <m/>
    <m/>
    <m/>
  </r>
  <r>
    <m/>
    <m/>
    <m/>
    <m/>
    <m/>
    <m/>
    <m/>
    <m/>
    <m/>
    <m/>
    <m/>
    <m/>
    <m/>
    <m/>
    <m/>
    <m/>
    <x v="4"/>
    <m/>
    <m/>
    <m/>
  </r>
  <r>
    <m/>
    <m/>
    <m/>
    <m/>
    <m/>
    <m/>
    <m/>
    <m/>
    <m/>
    <m/>
    <m/>
    <m/>
    <m/>
    <m/>
    <m/>
    <m/>
    <x v="4"/>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0">
  <r>
    <n v="1"/>
    <x v="0"/>
    <s v="Mapa"/>
    <s v="App-Login"/>
    <s v="Canal Digital"/>
    <s v="Interno-negocio SCB"/>
    <s v="Deficion Filtros - query de listado de clientes BT para crear usuario digital en SSS-Dynamo."/>
    <s v="Definir en conjunto con Angela y Carina los filtros a considerar en el query de consulta a la BD Bantotal para obtener listado de clientes a migrar a SSS-Dynamo para que se creen los usuarios digitales con clave en blanco(para resetear)."/>
    <s v="Funcional"/>
    <s v="Medio"/>
    <d v="2026-02-05T00:00:00"/>
    <d v="2026-03-23T00:00:00"/>
    <d v="2026-05-01T00:00:00"/>
    <n v="0"/>
    <s v="Angela "/>
    <b v="1"/>
    <x v="0"/>
    <s v="Digital"/>
    <s v="- Confirmar fecha"/>
  </r>
  <r>
    <n v="2"/>
    <x v="0"/>
    <s v="Mapa"/>
    <s v="App-Login"/>
    <s v="Canal Digital"/>
    <s v="ODS"/>
    <s v="Definir por parte de SSS la ruta donde desea que llegue el archivo de clientes migrados"/>
    <n v="0"/>
    <s v="Técnica"/>
    <s v="Medio"/>
    <d v="2026-02-05T00:00:00"/>
    <d v="2026-05-04T00:00:00"/>
    <d v="1899-12-30T00:00:00"/>
    <n v="0"/>
    <s v="ODS"/>
    <b v="1"/>
    <x v="0"/>
    <n v="0"/>
    <n v="0"/>
  </r>
  <r>
    <n v="3"/>
    <x v="0"/>
    <s v="Mapa"/>
    <s v="App-Login"/>
    <s v="Canal Digital"/>
    <s v="ODS"/>
    <s v="Procedimiento en SSS para carga de archivo de clientes migrados"/>
    <s v="contar con Procedimiento/script implementado por SSS para cargar de archivo de clientes migrados. "/>
    <s v="Técnica"/>
    <s v="Medio"/>
    <d v="2026-02-05T00:00:00"/>
    <d v="2026-10-04T00:00:00"/>
    <s v="TBD"/>
    <n v="0"/>
    <s v="Virginia C."/>
    <b v="1"/>
    <x v="1"/>
    <s v="Digital"/>
    <s v="- Confirmar fecha"/>
  </r>
  <r>
    <n v="4"/>
    <x v="0"/>
    <s v="Mapa"/>
    <s v="App-Recuperar Contraseña"/>
    <s v="Canal Digital"/>
    <s v="Prevencion de fraudes"/>
    <s v="Definicion de trama (campos) requerida por PF para monitorear la funcionalidad de recuperar contraseña"/>
    <s v="Ya se han realizado sessiones de trabajo con equipo de prevencion de fraudes y definido tramas para las funcionalidades del P1 , solo estaría quedando pendiente para el P1 la trama para la funcionalidad de recuperar contraseña"/>
    <s v="Funcional"/>
    <s v="Baja"/>
    <d v="2026-02-05T00:00:00"/>
    <d v="2026-05-02T00:00:00"/>
    <s v="TBD"/>
    <n v="0"/>
    <s v="Maria Flores"/>
    <b v="1"/>
    <x v="2"/>
    <s v="Digital"/>
    <s v="- Confirmar fecha"/>
  </r>
  <r>
    <n v="5"/>
    <x v="0"/>
    <s v="Mapa"/>
    <s v="App-Pago de Tarjeta de credito"/>
    <s v="Canal Digital"/>
    <s v="CM"/>
    <s v="Disponibilidad del CM en ambiente TEST para configurar plantilla de notificacion"/>
    <s v="Disponibilidad del CM en ambiente TEST para configurar plantilla de notificacion"/>
    <s v="Técnica"/>
    <s v="Medio"/>
    <d v="2026-04-15T00:00:00"/>
    <d v="1899-12-30T00:00:00"/>
    <s v="TBD"/>
    <n v="0"/>
    <s v="New LT CM"/>
    <b v="0"/>
    <x v="1"/>
    <s v="Digital"/>
    <n v="0"/>
  </r>
  <r>
    <n v="6"/>
    <x v="0"/>
    <s v="Mapa"/>
    <s v="App - Interoperabilidad"/>
    <s v="Canal Digital"/>
    <s v="BT / Apis Globales / CD"/>
    <s v="Definir apis requeridas que BT tiene que implementar para interoperabilidad"/>
    <s v="Sessiones de trabajo en conjunto con Bantotal, apis globales, Payments y canales digitales para definir las apis que BT debe implementar para soportar y probar la funcionalidad de Interoperabilidad"/>
    <s v="Técnica"/>
    <s v="Alta"/>
    <d v="2026-04-15T00:00:00"/>
    <d v="1899-12-30T00:00:00"/>
    <s v="TBD"/>
    <n v="0"/>
    <s v="Arnol Ingunza"/>
    <b v="0"/>
    <x v="1"/>
    <s v="Digital"/>
    <n v="0"/>
  </r>
  <r>
    <n v="7"/>
    <x v="0"/>
    <s v="Mapa"/>
    <s v="App - Interoperabilidad"/>
    <s v="Canal Digital"/>
    <s v="BT"/>
    <s v="plan de apis BT de interoperabilidad"/>
    <s v="posterior a session de definicion de apis BT , se debe obtener un plan de apis con fechas comprometidas en las que se van a poder utilizar por el canal App"/>
    <s v="Técnica"/>
    <s v="Alta"/>
    <d v="2026-04-22T00:00:00"/>
    <d v="1899-12-30T00:00:00"/>
    <s v="TBD"/>
    <n v="0"/>
    <s v="Julio Palomino"/>
    <b v="0"/>
    <x v="1"/>
    <s v="Digital"/>
    <n v="0"/>
  </r>
  <r>
    <n v="8"/>
    <x v="0"/>
    <s v="Mapa"/>
    <s v="App - transferencias inmediatas interbancarias"/>
    <s v="Canal Digital"/>
    <s v="ODS"/>
    <s v="Publicacion de cambios tecnicos por version ODS R10"/>
    <s v="Analisis de impacto posterior a la publicacion de cambios tecnicos por R10 (comentado para fin de abril) para la implementacion de funcionalidad de transferencias inmediatas"/>
    <s v="Técnica"/>
    <s v="Alta"/>
    <d v="2026-02-05T00:00:00"/>
    <d v="2026-05-02T00:00:00"/>
    <s v="TBD"/>
    <n v="0"/>
    <s v="Ana Marcos"/>
    <b v="0"/>
    <x v="1"/>
    <s v="Digital"/>
    <s v="- Confirmar fecha"/>
  </r>
  <r>
    <n v="9"/>
    <x v="0"/>
    <s v="Mapa"/>
    <s v="App - Pago de prestamo"/>
    <s v="Canal Digital"/>
    <s v="ODS"/>
    <s v="liberacion de nueva version ODS R10 para el programa Perú"/>
    <s v="Revisión funcional, tecnica y de experiencia post liberacion de nueva version R10 ODS"/>
    <s v="Técnica"/>
    <s v="Alta"/>
    <d v="2026-02-07T00:00:00"/>
    <d v="2026-07-02T00:00:00"/>
    <s v="TBD"/>
    <n v="0"/>
    <s v="Ana Marcos"/>
    <b v="0"/>
    <x v="2"/>
    <s v="Digital"/>
    <s v="- Confirmar fecha_x000a_- Donde está la solicitud"/>
  </r>
  <r>
    <n v="10"/>
    <x v="0"/>
    <s v="Mapa"/>
    <s v="App - Enrolamiento del dispositivo de confianza"/>
    <s v="Canal Digital"/>
    <s v="ODS"/>
    <s v="liberar capacidad de biometría con Reniec de parte de ODS en R10 para enrolamiento dispositivo"/>
    <s v="liberar capacidad de biometría con Reniec de parte de ODS en R10 para incluirlo como reto de seguridad en enrolamiento de dispositivo."/>
    <s v="Técnica"/>
    <s v="Alta"/>
    <d v="2026-02-07T00:00:00"/>
    <d v="2026-07-02T00:00:00"/>
    <s v="TBD"/>
    <n v="0"/>
    <s v="Ana Marcos"/>
    <b v="0"/>
    <x v="2"/>
    <s v="Digital"/>
    <s v="- Confirmar fecha_x000a_- Donde está la solicitud"/>
  </r>
  <r>
    <n v="11"/>
    <x v="0"/>
    <s v="Mapa"/>
    <s v="App-Cross"/>
    <s v="Canal Digital"/>
    <s v="ODS"/>
    <s v="Publicacion de apis impactadas por version ODS R10"/>
    <s v="Se requiere la publicacion del listado de apis globales a consumir por el canal, impactadas por nueva version ODS con su detalle respectivo. Con ello realizar una analisis general de impacto en  todas las funcionalidades del canal"/>
    <s v="Técnica"/>
    <s v="Alta"/>
    <d v="2026-02-05T00:00:00"/>
    <d v="2026-05-02T00:00:00"/>
    <s v="TBD"/>
    <n v="0"/>
    <s v="Ana Marcos"/>
    <b v="0"/>
    <x v="1"/>
    <s v="Digital"/>
    <s v="- Confirmar fecha_x000a_- Donde está la solicitud"/>
  </r>
  <r>
    <n v="12"/>
    <x v="0"/>
    <s v="Mapa"/>
    <s v="App-Cross"/>
    <s v="Canal Digital"/>
    <s v="ODS"/>
    <s v="Figmas tropicalizados Peru de Funcionalidades PI2"/>
    <s v="Diseño de Figmas Tropicalizados de PI2 (Cards, Frontend Services, Security, Loans, PG, Deposits)"/>
    <s v="Funcional"/>
    <s v="Alta"/>
    <d v="2026-03-20T00:00:00"/>
    <d v="1899-12-30T00:00:00"/>
    <d v="2026-03-20T00:00:00"/>
    <n v="0"/>
    <s v="Ana Marcos"/>
    <b v="1"/>
    <x v="0"/>
    <s v="Digital"/>
    <s v="De las epicas 14 ya solicitadas - ok_x000a_"/>
  </r>
  <r>
    <n v="13"/>
    <x v="0"/>
    <s v="Mapa"/>
    <s v="App-Cross"/>
    <s v="Canal Digital"/>
    <s v="ODS"/>
    <s v="scripts de pruebas automatizadas de PI 1 subidos en su GITHUB "/>
    <s v="Lo coordinado con ODS es que compartan sus scripts automatizados para hacerle adecuaciones para ejecucion de pruebas end to end Perú. se espera que estos scripts lleguen a finales de marzo, maximo primera semana de abril (funcionalidades :device manager, app information, customer landing, personal detail, account detail)"/>
    <s v="Técnica"/>
    <s v="Medio"/>
    <d v="2026-03-31T00:00:00"/>
    <d v="1899-12-30T00:00:00"/>
    <d v="2026-08-04T00:00:00"/>
    <n v="0"/>
    <s v="Ana Marcos"/>
    <b v="0"/>
    <x v="2"/>
    <s v="Digital"/>
    <n v="0"/>
  </r>
  <r>
    <n v="14"/>
    <x v="0"/>
    <s v="Mapa"/>
    <s v="App-Cross"/>
    <s v="Canal Digital"/>
    <s v="ODS"/>
    <s v="entrega de apis globales PI 2 - en fechas planificadas"/>
    <s v="Contar con la entrega de endpoints planificados para el PI 2 :_x000a_-D0-046-V3, D1-078, D1-081, D1-084, D1-001_x000a_-D1-111_v2, D1-169, D1-173, D1-204, D1-002_x000a_-D0-072_v2, D1-120, D1-121, D2-001, D1-007_x000a_"/>
    <s v="Técnica"/>
    <s v="Medio"/>
    <d v="2026-10-04T00:00:00"/>
    <d v="1899-12-30T00:00:00"/>
    <d v="2026-10-04T00:00:00"/>
    <n v="0"/>
    <s v="Ana Marcos"/>
    <b v="0"/>
    <x v="2"/>
    <s v="Digital"/>
    <n v="0"/>
  </r>
  <r>
    <n v="15"/>
    <x v="0"/>
    <s v="Mapa"/>
    <s v="App-Cross"/>
    <s v="Canal Digital"/>
    <s v="ODS"/>
    <s v="Figmas tropicalizados Peru de Funcionalidades PI2 ampliado"/>
    <s v="Se ha solicita 3 épicas adicionales, pendiente entrega de los figmas personalizados"/>
    <s v="Funcional"/>
    <s v="Media"/>
    <d v="2026-04-30T00:00:00"/>
    <d v="1899-12-30T00:00:00"/>
    <d v="2026-04-30T00:00:00"/>
    <n v="0"/>
    <s v="Ana Marcos"/>
    <b v="1"/>
    <x v="3"/>
    <n v="0"/>
    <s v="De las nuevas solicitudes, la fecha de entrega es al 30/04"/>
  </r>
  <r>
    <n v="16"/>
    <x v="0"/>
    <s v="Mapa"/>
    <s v="PG: Espacios conversacionales - ofertas preaprobadas"/>
    <s v="Canal Digital"/>
    <s v="Canal digital-equipo interno"/>
    <s v="Implementar un front backoffice para gestionar las imagenes y estilos para espacios conversacionales"/>
    <s v="Implementar un front backoffice para gestionar las imagenes y los estilos de  titulos y textos a mostrar en los espacios conversaciones que es el primer paso para un proceso de contracting."/>
    <s v="Técnica"/>
    <s v="Medio"/>
    <d v="2026-08-01T00:00:00"/>
    <d v="2026-08-01T00:00:00"/>
    <d v="2026-01-08T00:00:00"/>
    <n v="0"/>
    <s v="Luis Rosales"/>
    <b v="1"/>
    <x v="1"/>
    <s v="Digital"/>
    <s v="- Revisar fecha"/>
  </r>
  <r>
    <n v="17"/>
    <x v="0"/>
    <s v="Mapa"/>
    <s v="PG : Visualizar lista de productos disponibles del cliente"/>
    <s v="Canal Digital"/>
    <s v="Negocio Pasivos"/>
    <s v="Cerrar estados de tarjetas de credito"/>
    <s v="Se necesita que negocio cierre todos los estados que pueda manejar las tarjetas de Crédito dentro de Izipay por ello se debe de hacer una mesa de trabajo con el BB de Cards después que se defina que tarjetas de crédito quiere mostrar en la app. "/>
    <s v="Funcional"/>
    <s v="Baja"/>
    <d v="2026-04-01T00:00:00"/>
    <d v="2026-04-01T00:00:00"/>
    <d v="2026-01-04T00:00:00"/>
    <n v="0"/>
    <s v="Angela Verde"/>
    <b v="1"/>
    <x v="0"/>
    <s v="Digital"/>
    <s v="Se obtuvo VB con el negocio, Henry envía evidencia"/>
  </r>
  <r>
    <n v="1"/>
    <x v="1"/>
    <s v="Plan"/>
    <s v="P-391"/>
    <s v="Reclamos y Dalis"/>
    <s v="Seguridad y Redes"/>
    <s v="Conectividad"/>
    <s v="Habilitar firewalls en la VPN local para ingresar al ambiente preproductivo de Reclamos y DALIs"/>
    <s v="Técnica"/>
    <s v="Alta"/>
    <d v="2026-03-30T00:00:00"/>
    <d v="1899-12-30T00:00:00"/>
    <d v="2026-03-30T00:00:00"/>
    <n v="0"/>
    <s v="Cesar Villanueva"/>
    <b v="1"/>
    <x v="0"/>
    <s v="Canales Asistidos"/>
    <n v="0"/>
  </r>
  <r>
    <n v="2"/>
    <x v="1"/>
    <s v="Plan"/>
    <s v="P-360"/>
    <s v="SPACE"/>
    <s v="Infraestructura"/>
    <s v="Control M"/>
    <s v="Control M: transferencia de archivos"/>
    <s v="Técnica"/>
    <s v="Medio"/>
    <d v="2026-04-15T00:00:00"/>
    <d v="1899-12-30T00:00:00"/>
    <d v="1899-12-30T00:00:00"/>
    <n v="0"/>
    <s v="Sonia B."/>
    <b v="1"/>
    <x v="1"/>
    <s v="Canales Asistidos"/>
    <n v="0"/>
  </r>
  <r>
    <n v="3"/>
    <x v="1"/>
    <s v="Plan"/>
    <s v="P-360"/>
    <s v="SPACE"/>
    <s v="Infraestructura"/>
    <s v="Habilitacion de accesos"/>
    <s v="Habilitacion de usuarios de desarrollo AWS DATA"/>
    <s v="Técnica"/>
    <s v="Medio"/>
    <d v="2026-03-31T00:00:00"/>
    <d v="1899-12-30T00:00:00"/>
    <d v="1899-12-30T00:00:00"/>
    <n v="0"/>
    <s v="Sonia B."/>
    <b v="1"/>
    <x v="1"/>
    <s v="Canales Asistidos"/>
    <n v="0"/>
  </r>
  <r>
    <n v="4"/>
    <x v="1"/>
    <s v="Plan"/>
    <s v="P-353"/>
    <s v="SPACE"/>
    <s v="SPACE"/>
    <s v="Integracion Entra ID"/>
    <s v="Integracion con Entra ID"/>
    <s v="Técnica"/>
    <s v="Medio"/>
    <d v="2026-08-07T00:00:00"/>
    <d v="1899-12-30T00:00:00"/>
    <d v="1899-12-30T00:00:00"/>
    <n v="0"/>
    <s v="Sonia B."/>
    <b v="1"/>
    <x v="1"/>
    <s v="Canales Asistidos"/>
    <n v="0"/>
  </r>
  <r>
    <n v="5"/>
    <x v="1"/>
    <s v="Plan"/>
    <s v="P-349"/>
    <s v="SPACE"/>
    <s v="Bantotal"/>
    <s v="Carga inicial"/>
    <s v="Carga inicial"/>
    <s v="Técnica"/>
    <s v="Medio"/>
    <d v="2026-07-31T00:00:00"/>
    <d v="1899-12-30T00:00:00"/>
    <d v="1899-12-30T00:00:00"/>
    <n v="0"/>
    <s v="Sonia B."/>
    <b v="1"/>
    <x v="1"/>
    <s v="Canales Asistidos"/>
    <n v="0"/>
  </r>
  <r>
    <n v="6"/>
    <x v="1"/>
    <s v="Plan"/>
    <s v="P-169"/>
    <s v="SPACE"/>
    <s v="Cyberfinancial"/>
    <s v="Integracion"/>
    <s v="Integracion con Entra ID"/>
    <s v="Técnica"/>
    <s v="Medio"/>
    <d v="2026-04-24T00:00:00"/>
    <d v="1899-12-30T00:00:00"/>
    <d v="1899-12-30T00:00:00"/>
    <n v="0"/>
    <s v="Sonia B."/>
    <b v="1"/>
    <x v="1"/>
    <s v="Canales Asistidos"/>
    <n v="0"/>
  </r>
  <r>
    <n v="7"/>
    <x v="1"/>
    <s v="Plan"/>
    <s v="P-031"/>
    <s v="Mesa de Concesiones"/>
    <s v="Ciberseguridad"/>
    <s v="Habilitación para integración con entraID"/>
    <s v="Habilitación para integración con entraID"/>
    <s v="Técnica"/>
    <s v="Baja"/>
    <d v="2026-06-15T00:00:00"/>
    <d v="1899-12-30T00:00:00"/>
    <s v="TBD"/>
    <n v="0"/>
    <s v="Cesar Villanueva"/>
    <b v="1"/>
    <x v="1"/>
    <s v="Canales Asistidos"/>
    <n v="0"/>
  </r>
  <r>
    <n v="8"/>
    <x v="1"/>
    <s v="Mapa"/>
    <s v="MF-06210"/>
    <s v="Cyberfinancial"/>
    <s v="Data"/>
    <s v="Migracion"/>
    <s v="Migracion de audios cobranza"/>
    <s v="Técnica"/>
    <s v="Alta"/>
    <d v="2026-06-12T00:00:00"/>
    <d v="1899-12-30T00:00:00"/>
    <s v="TBD"/>
    <n v="0"/>
    <s v="Sonia B."/>
    <b v="1"/>
    <x v="2"/>
    <s v="Canales Asistidos"/>
    <n v="0"/>
  </r>
  <r>
    <n v="9"/>
    <x v="1"/>
    <s v="Mapa"/>
    <s v="MF-05967"/>
    <s v="Reclamos y Dalis"/>
    <s v="Data"/>
    <s v="Migracion"/>
    <s v="Migracion historica de reclamos y carga de audios."/>
    <s v="Funcional"/>
    <s v="Medio"/>
    <d v="2026-06-26T00:00:00"/>
    <d v="1899-12-30T00:00:00"/>
    <d v="1899-12-30T00:00:00"/>
    <n v="0"/>
    <s v="Jean Paul"/>
    <b v="1"/>
    <x v="1"/>
    <s v="Canales Asistidos"/>
    <n v="0"/>
  </r>
  <r>
    <n v="10"/>
    <x v="1"/>
    <s v="Mapa"/>
    <s v="MF-05940"/>
    <s v="Mesa de Concesiones"/>
    <s v="Negocio"/>
    <s v="Definición de modificaciones de documentos"/>
    <s v="Definir las modificaciones de documentos y registro de trazabilidad"/>
    <s v="Funcional"/>
    <s v="Baja"/>
    <d v="2026-04-17T00:00:00"/>
    <d v="1899-12-30T00:00:00"/>
    <s v="TBD"/>
    <n v="0"/>
    <s v="Jorge Urrutia"/>
    <b v="1"/>
    <x v="1"/>
    <s v="Canales Asistidos"/>
    <n v="0"/>
  </r>
  <r>
    <n v="11"/>
    <x v="1"/>
    <s v="Mapa"/>
    <s v="MF-05890"/>
    <s v="Mesa de Concesiones"/>
    <s v="Negocio"/>
    <s v="Definición de notificaciones"/>
    <s v="Definición de notificaciones dentro de la Gestión de rechazo de la solicitud"/>
    <s v="Funcional"/>
    <s v="Baja"/>
    <d v="2026-06-15T00:00:00"/>
    <d v="1899-12-30T00:00:00"/>
    <s v="TBD"/>
    <n v="0"/>
    <s v="Jorge Urrutia"/>
    <b v="1"/>
    <x v="1"/>
    <s v="Canales Asistidos"/>
    <n v="0"/>
  </r>
  <r>
    <n v="12"/>
    <x v="1"/>
    <s v="Mapa"/>
    <s v="MF-05880"/>
    <s v="Mesa de Concesiones"/>
    <s v="Negocio"/>
    <s v="Definición de checklist de documentos por rechazo"/>
    <s v="Definición de estructura de documentos para los sustentos por observación"/>
    <s v="Funcional"/>
    <s v="Medio"/>
    <d v="2026-06-15T00:00:00"/>
    <d v="1899-12-30T00:00:00"/>
    <s v="TBD"/>
    <n v="0"/>
    <s v="Jorge Urrutia"/>
    <b v="1"/>
    <x v="1"/>
    <s v="Canales Asistidos"/>
    <n v="0"/>
  </r>
  <r>
    <n v="13"/>
    <x v="1"/>
    <s v="Mapa"/>
    <s v="MF-05870"/>
    <s v="Mesa de Concesiones"/>
    <s v="Aplicaciones de Soporte"/>
    <s v="Apis"/>
    <s v="Desarrollo de 8 APIs para obtener resultados de evaluación, gestor documental y notificaciones"/>
    <s v="Técnica"/>
    <s v="Alta"/>
    <d v="2026-06-15T00:00:00"/>
    <d v="1899-12-30T00:00:00"/>
    <s v="TBD"/>
    <n v="0"/>
    <s v="Jaime H."/>
    <b v="1"/>
    <x v="2"/>
    <s v="Canales Asistidos"/>
    <n v="0"/>
  </r>
  <r>
    <n v="14"/>
    <x v="1"/>
    <s v="Mapa"/>
    <s v="MF-05860"/>
    <s v="Mesa de Concesiones"/>
    <s v="Negocio"/>
    <s v="Definición de funcionalidades para la Bandeja de Supervisor"/>
    <s v="Definición de KPIs, dashboard y vistas clave para el supervisor"/>
    <s v="Funcional"/>
    <s v="Medio"/>
    <d v="2026-04-17T00:00:00"/>
    <d v="1899-12-30T00:00:00"/>
    <s v="TBD"/>
    <n v="0"/>
    <s v="Jorge Urrutia"/>
    <b v="1"/>
    <x v="1"/>
    <s v="Canales Asistidos"/>
    <n v="0"/>
  </r>
  <r>
    <n v="15"/>
    <x v="1"/>
    <s v="Mapa"/>
    <s v="MF-05850"/>
    <s v="Mesa de Concesiones"/>
    <s v="Negocio"/>
    <s v="Definición de diseño de mesa de autonomía"/>
    <s v="Definición de atención de Mesa de Autonomías"/>
    <s v="Funcional"/>
    <s v="Medio"/>
    <d v="2026-03-23T00:00:00"/>
    <d v="1899-12-30T00:00:00"/>
    <d v="2026-03-23T00:00:00"/>
    <n v="0"/>
    <s v="Jorge Urrutia"/>
    <b v="1"/>
    <x v="0"/>
    <s v="Canales Asistidos"/>
    <n v="0"/>
  </r>
  <r>
    <n v="16"/>
    <x v="1"/>
    <s v="Mapa"/>
    <s v="MF-05850"/>
    <s v="Mesa de Concesiones"/>
    <s v="Negocio"/>
    <s v="Definición administrador de autonomías"/>
    <s v="Definición de módulo de administración de Autonomías"/>
    <s v="Funcional"/>
    <s v="Medio"/>
    <d v="2026-03-27T00:00:00"/>
    <d v="2026-04-10T00:00:00"/>
    <s v="TBD"/>
    <n v="0"/>
    <s v="Jorge Urrutia"/>
    <b v="1"/>
    <x v="3"/>
    <s v="Canales Asistidos"/>
    <n v="0"/>
  </r>
  <r>
    <n v="17"/>
    <x v="1"/>
    <s v="Mapa"/>
    <s v="MF-05840"/>
    <s v="Mesa de Concesiones"/>
    <s v="Negocio"/>
    <s v="Definición modelo de atención"/>
    <s v="Definición de modelo de atención en Bandeja de Mesa de Concesiones (Asignación manual / automática)"/>
    <s v="Funcional"/>
    <s v="Alta"/>
    <d v="2026-03-27T00:00:00"/>
    <d v="2026-04-10T00:00:00"/>
    <s v="TBD"/>
    <n v="0"/>
    <s v="Jorge Urrutia"/>
    <b v="1"/>
    <x v="3"/>
    <s v="Canales Asistidos"/>
    <n v="0"/>
  </r>
  <r>
    <n v="18"/>
    <x v="1"/>
    <s v="Mapa"/>
    <s v="MF-05840"/>
    <s v="Mesa de Concesiones"/>
    <s v="Negocio"/>
    <s v="Definición de SLAs"/>
    <s v="Definición de SLAs de atención y planes de acción"/>
    <s v="Funcional"/>
    <s v="Alta"/>
    <d v="2026-03-27T00:00:00"/>
    <d v="2026-04-10T00:00:00"/>
    <s v="TBD"/>
    <n v="0"/>
    <s v="Jorge Urrutia"/>
    <b v="1"/>
    <x v="1"/>
    <s v="Canales Asistidos"/>
    <n v="0"/>
  </r>
  <r>
    <n v="19"/>
    <x v="1"/>
    <s v="Mapa"/>
    <s v="MF-05830"/>
    <s v="Mesa de Concesiones"/>
    <s v="Bantotal"/>
    <s v=" "/>
    <s v="Integración con BT para enviar solicitudes evaluadas a Mesa de Concesiones"/>
    <s v="Técnica"/>
    <s v="Alta"/>
    <d v="2026-06-15T00:00:00"/>
    <d v="1899-12-30T00:00:00"/>
    <s v="TBD"/>
    <n v="0"/>
    <s v="Julio Palomino"/>
    <b v="1"/>
    <x v="1"/>
    <s v="Canales Asistidos"/>
    <n v="0"/>
  </r>
  <r>
    <n v="20"/>
    <x v="1"/>
    <s v="Mapa"/>
    <s v="MF-05830"/>
    <s v="Mesa de Concesiones"/>
    <s v="Ciberseguridad"/>
    <s v="Integración con SPACE"/>
    <s v="Integración con SPACE para embeber Mesa de Concesiones"/>
    <s v="Técnica"/>
    <s v="Baja"/>
    <d v="2026-07-17T00:00:00"/>
    <d v="1899-12-30T00:00:00"/>
    <s v="TBD"/>
    <n v="0"/>
    <s v="Jorge Urrutia"/>
    <b v="1"/>
    <x v="1"/>
    <s v="Canales Asistidos"/>
    <n v="0"/>
  </r>
  <r>
    <n v="21"/>
    <x v="1"/>
    <s v="Mapa"/>
    <s v="MF-05800"/>
    <s v="Mesa de Concesiones"/>
    <s v="Negocio"/>
    <s v="Definición de roles"/>
    <s v="Definición de roles que tendrán acceso a Mesa de Concesiones"/>
    <s v="Funcional"/>
    <s v="Medio"/>
    <d v="2026-04-10T00:00:00"/>
    <d v="1899-12-30T00:00:00"/>
    <s v="TBD"/>
    <n v="0"/>
    <s v="Jorge Urrutia"/>
    <b v="1"/>
    <x v="1"/>
    <s v="Canales Asistidos"/>
    <n v="0"/>
  </r>
  <r>
    <n v="22"/>
    <x v="1"/>
    <s v="Mapa"/>
    <s v="MF-05790"/>
    <s v="SPACE"/>
    <s v="Data"/>
    <s v="Fuente de origen de campañas"/>
    <s v="Proceso de exportación de campañas"/>
    <s v="Funcional"/>
    <s v="Medio"/>
    <d v="2026-04-24T00:00:00"/>
    <d v="1899-12-30T00:00:00"/>
    <d v="1899-12-30T00:00:00"/>
    <n v="0"/>
    <s v="Sonia B."/>
    <b v="1"/>
    <x v="1"/>
    <s v="Canales Asistidos"/>
    <n v="0"/>
  </r>
  <r>
    <n v="23"/>
    <x v="1"/>
    <s v="Mapa"/>
    <s v="MF-05790"/>
    <s v="SPACE"/>
    <s v="Bantotal"/>
    <s v="Fuente de origen de campañas"/>
    <s v="Proceso de exportación de campañas"/>
    <s v="Funcional"/>
    <s v="Medio"/>
    <d v="2026-04-24T00:00:00"/>
    <d v="1899-12-30T00:00:00"/>
    <d v="1899-12-30T00:00:00"/>
    <n v="0"/>
    <s v="Sonia B."/>
    <b v="1"/>
    <x v="1"/>
    <s v="Canales Asistidos"/>
    <n v="0"/>
  </r>
  <r>
    <n v="24"/>
    <x v="1"/>
    <s v="Mapa"/>
    <s v="MF-05770"/>
    <s v="SPACE"/>
    <s v="Bantotal"/>
    <s v="Fuente de origen de clientes desde BT"/>
    <s v="Proceso de exportación de clientes desde BT"/>
    <s v="Funcional"/>
    <s v="Medio"/>
    <d v="2026-04-24T00:00:00"/>
    <d v="1899-12-30T00:00:00"/>
    <d v="1899-12-30T00:00:00"/>
    <n v="0"/>
    <s v="Sonia B."/>
    <b v="1"/>
    <x v="1"/>
    <s v="Canales Asistidos"/>
    <n v="0"/>
  </r>
  <r>
    <n v="25"/>
    <x v="1"/>
    <s v="Mapa"/>
    <s v="MF-05760"/>
    <s v="SPACE"/>
    <s v="Bantotal"/>
    <s v="Definición de carga de datos"/>
    <s v="Definir fuente origen para carga de campañas "/>
    <s v="Técnica"/>
    <s v="Medio"/>
    <d v="2026-03-31T00:00:00"/>
    <d v="2026-04-07T00:00:00"/>
    <d v="1899-12-30T00:00:00"/>
    <n v="0"/>
    <s v="Sonia B."/>
    <b v="1"/>
    <x v="0"/>
    <s v="Canales Asistidos"/>
    <n v="0"/>
  </r>
  <r>
    <n v="26"/>
    <x v="1"/>
    <s v="Mapa"/>
    <s v="MF-05760"/>
    <s v="SPACE"/>
    <s v="Bantotal"/>
    <s v="Confirmacion de información"/>
    <s v="Confirmar donde residirán los No clientes (Personas que NO son clientes del Banco) "/>
    <s v="Técnica"/>
    <s v="Medio"/>
    <d v="2026-03-27T00:00:00"/>
    <d v="1899-12-30T00:00:00"/>
    <d v="1899-12-30T00:00:00"/>
    <n v="0"/>
    <s v="Sonia B."/>
    <b v="1"/>
    <x v="0"/>
    <s v="Canales Asistidos"/>
    <n v="0"/>
  </r>
  <r>
    <n v="27"/>
    <x v="1"/>
    <s v="Mapa"/>
    <s v="MF-05760"/>
    <s v="SPACE"/>
    <s v="Bantotal"/>
    <s v="Configuracion de estructura comercial"/>
    <s v="Estructura Comercial de Agencias y CC "/>
    <s v="Técnica"/>
    <s v="Medio"/>
    <d v="2026-04-10T00:00:00"/>
    <d v="1899-12-30T00:00:00"/>
    <d v="1899-12-30T00:00:00"/>
    <n v="0"/>
    <s v="Sonia B."/>
    <b v="1"/>
    <x v="1"/>
    <s v="Canales Asistidos"/>
    <n v="0"/>
  </r>
  <r>
    <n v="28"/>
    <x v="1"/>
    <s v="Mapa"/>
    <s v="MF-05750"/>
    <s v="SPACE"/>
    <s v="Bantotal"/>
    <s v="Fuente de origen de campañas"/>
    <s v="Proceso de exportación de campañas"/>
    <s v="Funcional"/>
    <s v="Medio"/>
    <d v="2026-04-24T00:00:00"/>
    <d v="1899-12-30T00:00:00"/>
    <d v="1899-12-30T00:00:00"/>
    <n v="0"/>
    <s v="Sonia B."/>
    <b v="1"/>
    <x v="1"/>
    <s v="Canales Asistidos"/>
    <n v="0"/>
  </r>
  <r>
    <n v="29"/>
    <x v="1"/>
    <s v="Mapa"/>
    <s v="MF-05750"/>
    <s v="SPACE"/>
    <s v="Data"/>
    <s v="Fuente de origen de campañas"/>
    <s v="Proceso de exportación de campañas"/>
    <s v="Funcional"/>
    <s v="Medio"/>
    <d v="2026-04-24T00:00:00"/>
    <d v="1899-12-30T00:00:00"/>
    <d v="1899-12-30T00:00:00"/>
    <n v="0"/>
    <s v="Sonia B."/>
    <b v="1"/>
    <x v="1"/>
    <s v="Canales Asistidos"/>
    <n v="0"/>
  </r>
  <r>
    <n v="30"/>
    <x v="1"/>
    <s v="Mapa"/>
    <s v="MF-05740"/>
    <s v="SPACE"/>
    <s v="Data"/>
    <s v="Fuente de origen de prospectos"/>
    <s v="Proceso de exportación de prospectos"/>
    <s v="Funcional"/>
    <s v="Medio"/>
    <d v="2026-04-24T00:00:00"/>
    <d v="1899-12-30T00:00:00"/>
    <d v="1899-12-30T00:00:00"/>
    <n v="0"/>
    <s v="Sonia B."/>
    <b v="1"/>
    <x v="1"/>
    <s v="Canales Asistidos"/>
    <n v="0"/>
  </r>
  <r>
    <n v="31"/>
    <x v="1"/>
    <s v="Mapa"/>
    <s v="MF-05730"/>
    <s v="SPACE"/>
    <s v="Bantotal"/>
    <s v="Fuente de origen de clientes desde BT"/>
    <s v="Proceso de exportación de clientes desde BT"/>
    <s v="Funcional"/>
    <s v="Medio"/>
    <d v="2026-04-24T00:00:00"/>
    <d v="1899-12-30T00:00:00"/>
    <d v="1899-12-30T00:00:00"/>
    <n v="0"/>
    <s v="Sonia B."/>
    <b v="1"/>
    <x v="1"/>
    <s v="Canales Asistidos"/>
    <n v="0"/>
  </r>
  <r>
    <n v="32"/>
    <x v="1"/>
    <s v="Mapa"/>
    <s v="MF-05720"/>
    <s v="SPACE"/>
    <s v="Bantotal"/>
    <s v="Definición de carga de datos"/>
    <s v="Definir fuente origen para carga de campañas "/>
    <s v="Técnica"/>
    <s v="Medio"/>
    <d v="2026-03-31T00:00:00"/>
    <d v="2026-04-07T00:00:00"/>
    <d v="1899-12-30T00:00:00"/>
    <n v="0"/>
    <s v="Sonia B."/>
    <b v="1"/>
    <x v="0"/>
    <s v="Canales Asistidos"/>
    <n v="0"/>
  </r>
  <r>
    <n v="33"/>
    <x v="1"/>
    <s v="Mapa"/>
    <s v="MF-05720"/>
    <s v="SPACE"/>
    <s v="Bantotal"/>
    <s v="Confirmacion de información"/>
    <s v="Confirmar donde residirán los No clientes (Personas que NO son clientes del Banco) "/>
    <s v="Técnica"/>
    <s v="Medio"/>
    <d v="2026-03-27T00:00:00"/>
    <d v="1899-12-30T00:00:00"/>
    <d v="1899-12-30T00:00:00"/>
    <n v="0"/>
    <s v="Sonia B."/>
    <b v="1"/>
    <x v="0"/>
    <s v="Canales Asistidos"/>
    <n v="0"/>
  </r>
  <r>
    <n v="34"/>
    <x v="1"/>
    <s v="Mapa"/>
    <s v="MF-05720"/>
    <s v="SPACE"/>
    <s v="Bantotal"/>
    <s v="Configuracion de estructura comercial"/>
    <s v="Estructura Comercial de Agencias y CC "/>
    <s v="Técnica"/>
    <s v="Medio"/>
    <d v="2026-04-10T00:00:00"/>
    <d v="1899-12-30T00:00:00"/>
    <d v="1899-12-30T00:00:00"/>
    <n v="0"/>
    <s v="Sonia B."/>
    <b v="1"/>
    <x v="1"/>
    <s v="Canales Asistidos"/>
    <n v="0"/>
  </r>
  <r>
    <n v="35"/>
    <x v="1"/>
    <s v="Mapa"/>
    <s v="MF-05710"/>
    <s v="Reclamos y Dalis"/>
    <s v="Negocio"/>
    <s v="Definir los roles para back office"/>
    <s v="Configuración de roles para back office (RECLAMOS)"/>
    <s v="Funcional"/>
    <s v="Medio"/>
    <d v="2026-06-01T00:00:00"/>
    <d v="1899-12-30T00:00:00"/>
    <d v="1899-12-30T00:00:00"/>
    <n v="0"/>
    <s v="Sonia B."/>
    <b v="1"/>
    <x v="1"/>
    <s v="Canales Asistidos"/>
    <n v="0"/>
  </r>
  <r>
    <n v="36"/>
    <x v="1"/>
    <s v="Mapa"/>
    <s v="MF-05700"/>
    <s v="Reclamos y Dalis"/>
    <s v="Negocio"/>
    <s v="Definir los roles para agencias"/>
    <s v="Configuración de roles para agencias (RECLAMOS)"/>
    <s v="Funcional"/>
    <s v="Medio"/>
    <d v="2026-06-01T00:00:00"/>
    <d v="1899-12-30T00:00:00"/>
    <d v="1899-12-30T00:00:00"/>
    <n v="0"/>
    <s v="Sonia B."/>
    <b v="1"/>
    <x v="1"/>
    <s v="Canales Asistidos"/>
    <n v="0"/>
  </r>
  <r>
    <n v="37"/>
    <x v="1"/>
    <s v="Mapa"/>
    <s v="MF-05690"/>
    <s v="Reclamos y Dalis"/>
    <s v="Negocio"/>
    <s v="Definir los roles para contact center"/>
    <s v="Configuración los roles para contact center (RECLAMOS)"/>
    <s v="Funcional"/>
    <s v="Medio"/>
    <d v="2026-06-01T00:00:00"/>
    <d v="1899-12-30T00:00:00"/>
    <d v="1899-12-30T00:00:00"/>
    <n v="0"/>
    <s v="Sonia B."/>
    <b v="1"/>
    <x v="1"/>
    <s v="Canales Asistidos"/>
    <n v="0"/>
  </r>
  <r>
    <n v="38"/>
    <x v="1"/>
    <s v="Mapa"/>
    <s v="MF-05680"/>
    <s v="Reclamos y Dalis"/>
    <s v="Negocio"/>
    <s v="Definir los roles para back office"/>
    <s v="Configuración de roles para back office (DALIS)"/>
    <s v="Funcional"/>
    <s v="Medio"/>
    <d v="2026-06-01T00:00:00"/>
    <d v="1899-12-30T00:00:00"/>
    <d v="1899-12-30T00:00:00"/>
    <n v="0"/>
    <s v="Sonia B."/>
    <b v="1"/>
    <x v="1"/>
    <s v="Canales Asistidos"/>
    <n v="0"/>
  </r>
  <r>
    <n v="39"/>
    <x v="1"/>
    <s v="Mapa"/>
    <s v="MF-05670"/>
    <s v="Reclamos y Dalis"/>
    <s v="Negocio"/>
    <s v="Definir los roles para agencias"/>
    <s v="Configuración de roles para agencias (DALIS)"/>
    <s v="Funcional"/>
    <s v="Medio"/>
    <d v="2026-06-01T00:00:00"/>
    <d v="1899-12-30T00:00:00"/>
    <d v="1899-12-30T00:00:00"/>
    <n v="0"/>
    <s v="Sonia B."/>
    <b v="1"/>
    <x v="1"/>
    <s v="Canales Asistidos"/>
    <n v="0"/>
  </r>
  <r>
    <n v="40"/>
    <x v="1"/>
    <s v="Mapa"/>
    <s v="MF-05660"/>
    <s v="Reclamos y Dalis"/>
    <s v="Negocio"/>
    <s v="Definir los roles para contact center"/>
    <s v="Configuración los roles para contact center (DALIS)"/>
    <s v="Funcional"/>
    <s v="Medio"/>
    <d v="2026-06-01T00:00:00"/>
    <d v="1899-12-30T00:00:00"/>
    <d v="1899-12-30T00:00:00"/>
    <n v="0"/>
    <s v="Sonia B."/>
    <b v="1"/>
    <x v="1"/>
    <s v="Canales Asistidos"/>
    <n v="0"/>
  </r>
  <r>
    <n v="41"/>
    <x v="1"/>
    <s v="Mapa"/>
    <s v="MF-05653"/>
    <s v="SPACE"/>
    <s v="ODS"/>
    <s v="Ambiente pre productivo espejo"/>
    <s v="Creación de un ambiente pre productivo espejo"/>
    <s v="Infraestructura"/>
    <s v="Alta"/>
    <d v="2026-06-05T00:00:00"/>
    <d v="1899-12-30T00:00:00"/>
    <d v="1899-12-30T00:00:00"/>
    <n v="0"/>
    <s v="Sonia B."/>
    <b v="1"/>
    <x v="1"/>
    <s v="Canales Asistidos"/>
    <n v="0"/>
  </r>
  <r>
    <n v="42"/>
    <x v="1"/>
    <s v="Mapa"/>
    <s v="MF-05652"/>
    <s v="Reclamos y Dalis"/>
    <s v="Data"/>
    <s v="Explotacion de datos"/>
    <s v="Disponibilizar informacion historica de Dalis en datalake."/>
    <s v="Técnica"/>
    <s v="Alta"/>
    <d v="2026-06-30T00:00:00"/>
    <d v="1899-12-30T00:00:00"/>
    <d v="2026-06-30T00:00:00"/>
    <n v="0"/>
    <s v="Jean Paul Astonitas"/>
    <b v="1"/>
    <x v="1"/>
    <s v="Canales Asistidos"/>
    <n v="0"/>
  </r>
  <r>
    <n v="43"/>
    <x v="1"/>
    <s v="Mapa"/>
    <s v="MF-05650"/>
    <s v="Reclamos y Dalis"/>
    <s v="Web Institucional"/>
    <s v="Integración &amp; Conectividad"/>
    <s v="Se dejará la información en el bucket S3 con los reclamos generados desde la Web Institucional, y esta viajará en un proceso tipo batch hacia la bandeja de preregistro del sistema de Reclamos."/>
    <s v="Técnica"/>
    <s v="Alta"/>
    <d v="2026-06-30T00:00:00"/>
    <d v="1899-12-30T00:00:00"/>
    <d v="2026-06-30T00:00:00"/>
    <n v="0"/>
    <s v="Henry J."/>
    <b v="1"/>
    <x v="1"/>
    <s v="Canales Asistidos"/>
    <n v="0"/>
  </r>
  <r>
    <n v="44"/>
    <x v="1"/>
    <s v="Mapa"/>
    <s v="MF-05620"/>
    <s v="SPACE"/>
    <s v="Data"/>
    <s v="Fuente de origen de campañas"/>
    <s v="Proceso de exportación de campañas"/>
    <s v="Funcional"/>
    <s v="Medio"/>
    <d v="2026-04-24T00:00:00"/>
    <d v="1899-12-30T00:00:00"/>
    <d v="1899-12-30T00:00:00"/>
    <n v="0"/>
    <s v="Sonia B."/>
    <b v="1"/>
    <x v="1"/>
    <s v="Canales Asistidos"/>
    <n v="0"/>
  </r>
  <r>
    <n v="45"/>
    <x v="1"/>
    <s v="Mapa"/>
    <s v="MF-05620"/>
    <s v="SPACE"/>
    <s v="Bantotal"/>
    <s v="Fuente de origen de campañas"/>
    <s v="Proceso de exportación de campañas"/>
    <s v="Funcional"/>
    <s v="Medio"/>
    <d v="2026-04-24T00:00:00"/>
    <d v="1899-12-30T00:00:00"/>
    <d v="1899-12-30T00:00:00"/>
    <n v="0"/>
    <s v="Sonia B."/>
    <b v="1"/>
    <x v="1"/>
    <s v="Canales Asistidos"/>
    <n v="0"/>
  </r>
  <r>
    <n v="46"/>
    <x v="1"/>
    <s v="Mapa"/>
    <s v="MF-05500"/>
    <s v="Cyberfinancial"/>
    <s v="Cards &amp; Payments"/>
    <s v="Actualización de pagos en Bantotal "/>
    <s v="Actualización de pagos en bantotal de TC"/>
    <s v="Técnica"/>
    <s v="Alta"/>
    <d v="2026-07-01T00:00:00"/>
    <d v="1899-12-30T00:00:00"/>
    <s v="TBD"/>
    <n v="0"/>
    <s v="Sonia B."/>
    <b v="1"/>
    <x v="2"/>
    <s v="Canales Asistidos"/>
    <n v="0"/>
  </r>
  <r>
    <n v="47"/>
    <x v="1"/>
    <s v="Mapa"/>
    <s v="MF-05500"/>
    <s v="Cyberfinancial"/>
    <s v="Bantotal"/>
    <s v="Actualización de pagos en Bantotal "/>
    <s v="Actualización de pagos en bantotal de TD"/>
    <s v="Técnica"/>
    <s v="Alta"/>
    <d v="2026-07-01T00:00:00"/>
    <d v="1899-12-30T00:00:00"/>
    <s v="TBD"/>
    <n v="0"/>
    <s v="Sonia B."/>
    <b v="1"/>
    <x v="2"/>
    <s v="Canales Asistidos"/>
    <n v="0"/>
  </r>
  <r>
    <n v="48"/>
    <x v="1"/>
    <s v="Mapa"/>
    <s v="MF-05480"/>
    <s v="SPACE"/>
    <s v="Data"/>
    <s v="Fuente de origen de campañas"/>
    <s v="Proceso de exportación de campañas"/>
    <s v="Funcional"/>
    <s v="Medio"/>
    <d v="2026-04-24T00:00:00"/>
    <d v="1899-12-30T00:00:00"/>
    <d v="1899-12-30T00:00:00"/>
    <n v="0"/>
    <s v="Sonia B."/>
    <b v="1"/>
    <x v="1"/>
    <s v="Canales Asistidos"/>
    <n v="0"/>
  </r>
  <r>
    <n v="49"/>
    <x v="1"/>
    <s v="Mapa"/>
    <s v="MF-05480"/>
    <s v="SPACE"/>
    <s v="Bantotal"/>
    <s v="Fuente de origen de campañas"/>
    <s v="Proceso de exportación de campañas"/>
    <s v="Funcional"/>
    <s v="Medio"/>
    <d v="2026-04-24T00:00:00"/>
    <d v="1899-12-30T00:00:00"/>
    <d v="1899-12-30T00:00:00"/>
    <n v="0"/>
    <s v="Sonia B."/>
    <b v="1"/>
    <x v="1"/>
    <s v="Canales Asistidos"/>
    <n v="0"/>
  </r>
  <r>
    <n v="50"/>
    <x v="1"/>
    <s v="Mapa"/>
    <s v="MF-05400"/>
    <s v="SPACE"/>
    <s v="Data"/>
    <s v="Fuente de origen de campañas"/>
    <s v="Proceso de exportación de campañas"/>
    <s v="Funcional"/>
    <s v="Medio"/>
    <d v="2026-04-24T00:00:00"/>
    <d v="1899-12-30T00:00:00"/>
    <d v="1899-12-30T00:00:00"/>
    <n v="0"/>
    <s v="Sonia B."/>
    <b v="1"/>
    <x v="1"/>
    <s v="Canales Asistidos"/>
    <n v="0"/>
  </r>
  <r>
    <n v="51"/>
    <x v="1"/>
    <s v="Mapa"/>
    <s v="MF-05400"/>
    <s v="SPACE"/>
    <s v="Bantotal"/>
    <s v="Fuente de origen de campañas"/>
    <s v="Proceso de exportación de campañas"/>
    <s v="Funcional"/>
    <s v="Medio"/>
    <d v="2026-04-24T00:00:00"/>
    <d v="1899-12-30T00:00:00"/>
    <d v="1899-12-30T00:00:00"/>
    <n v="0"/>
    <s v="Sonia B."/>
    <b v="1"/>
    <x v="1"/>
    <s v="Canales Asistidos"/>
    <n v="0"/>
  </r>
  <r>
    <n v="52"/>
    <x v="1"/>
    <s v="Mapa"/>
    <s v="MF-05390"/>
    <s v="SPACE"/>
    <s v="Data"/>
    <s v="Fuente de origen de prospectos"/>
    <s v="Proceso de exportación de prospectos"/>
    <s v="Funcional"/>
    <s v="Medio"/>
    <d v="2026-04-24T00:00:00"/>
    <d v="1899-12-30T00:00:00"/>
    <d v="1899-12-30T00:00:00"/>
    <n v="0"/>
    <s v="Sonia B."/>
    <b v="1"/>
    <x v="1"/>
    <s v="Canales Asistidos"/>
    <n v="0"/>
  </r>
  <r>
    <n v="53"/>
    <x v="1"/>
    <s v="Mapa"/>
    <s v="MF-05380"/>
    <s v="SPACE"/>
    <s v="Bantotal"/>
    <s v="Fuente de origen de clientes desde BT"/>
    <s v="Proceso de exportación de clientes desde BT"/>
    <s v="Funcional"/>
    <s v="Medio"/>
    <d v="2026-04-24T00:00:00"/>
    <d v="1899-12-30T00:00:00"/>
    <d v="1899-12-30T00:00:00"/>
    <n v="0"/>
    <s v="Sonia B."/>
    <b v="1"/>
    <x v="1"/>
    <s v="Canales Asistidos"/>
    <n v="0"/>
  </r>
  <r>
    <n v="54"/>
    <x v="1"/>
    <s v="Mapa"/>
    <s v="MF-05380"/>
    <s v="SPACE"/>
    <n v="0"/>
    <s v="Fuente de origen de no clientes"/>
    <s v="Proceso de exportación de NO CLIENTES desde XXXXX"/>
    <s v="Funcional"/>
    <s v="Medio"/>
    <d v="2026-04-24T00:00:00"/>
    <d v="1899-12-30T00:00:00"/>
    <d v="1899-12-30T00:00:00"/>
    <n v="0"/>
    <s v="Sonia B."/>
    <b v="1"/>
    <x v="1"/>
    <s v="Canales Asistidos"/>
    <n v="0"/>
  </r>
  <r>
    <n v="55"/>
    <x v="1"/>
    <s v="Mapa"/>
    <s v="MF-05350"/>
    <s v="SPACE"/>
    <s v="Cards &amp; Payments"/>
    <s v="Definicion de campos para apis"/>
    <s v="Confirmación de estados de las tarjetas"/>
    <s v="Técnica"/>
    <s v="Medio"/>
    <d v="2026-06-03T00:00:00"/>
    <d v="1899-12-30T00:00:00"/>
    <d v="1899-12-30T00:00:00"/>
    <n v="0"/>
    <s v="Sonia B."/>
    <b v="1"/>
    <x v="1"/>
    <s v="Canales Asistidos"/>
    <n v="0"/>
  </r>
  <r>
    <n v="56"/>
    <x v="1"/>
    <s v="Mapa"/>
    <s v="MF-05350"/>
    <s v="SPACE"/>
    <s v="Negocio"/>
    <s v="Definicion de estados y situaciones de Tarjeta de débito"/>
    <s v="Definición de estados de tarjeta de débito y motivos de bloqueo"/>
    <s v="Técnica"/>
    <s v="Medio"/>
    <d v="2026-06-03T00:00:00"/>
    <d v="1899-12-30T00:00:00"/>
    <d v="1899-12-30T00:00:00"/>
    <n v="0"/>
    <s v="Sonia B."/>
    <b v="1"/>
    <x v="1"/>
    <s v="Canales Asistidos"/>
    <n v="0"/>
  </r>
  <r>
    <n v="57"/>
    <x v="1"/>
    <s v="Mapa"/>
    <s v="MF-05340"/>
    <s v="SPACE"/>
    <s v="Bantotal"/>
    <s v="Mapeo de nuevos campos en APIs"/>
    <s v="Agregar el campo estado de movimientos para tarjetas de débito"/>
    <s v="Técnica"/>
    <s v="Medio"/>
    <d v="2026-06-03T00:00:00"/>
    <d v="1899-12-30T00:00:00"/>
    <d v="1899-12-30T00:00:00"/>
    <n v="0"/>
    <s v="Sonia B."/>
    <b v="1"/>
    <x v="1"/>
    <s v="Canales Asistidos"/>
    <n v="0"/>
  </r>
  <r>
    <n v="58"/>
    <x v="1"/>
    <s v="Mapa"/>
    <s v="MF-05340"/>
    <s v="SPACE"/>
    <s v="Cards &amp; Payments"/>
    <s v="Definicion de campos para apis"/>
    <s v="Confirmación de estados de las tarjetas"/>
    <s v="Técnica"/>
    <s v="Medio"/>
    <d v="2026-06-03T00:00:00"/>
    <d v="1899-12-30T00:00:00"/>
    <d v="1899-12-30T00:00:00"/>
    <n v="0"/>
    <s v="Sonia B."/>
    <b v="1"/>
    <x v="1"/>
    <s v="Canales Asistidos"/>
    <n v="0"/>
  </r>
  <r>
    <n v="59"/>
    <x v="1"/>
    <s v="Mapa"/>
    <s v="MF-05340"/>
    <s v="SPACE"/>
    <s v="Integración ODS"/>
    <s v="Apis"/>
    <s v="Desarrollo de 8 Apis por parte de ODS (IVR)"/>
    <s v="Técnica"/>
    <s v="Medio"/>
    <d v="2026-03-31T00:00:00"/>
    <d v="2026-04-07T00:00:00"/>
    <d v="1899-12-30T00:00:00"/>
    <n v="0"/>
    <s v="Sonia B."/>
    <b v="1"/>
    <x v="3"/>
    <s v="Canales Asistidos"/>
    <n v="0"/>
  </r>
  <r>
    <n v="60"/>
    <x v="1"/>
    <s v="Mapa"/>
    <s v="MF-05340"/>
    <s v="SPACE"/>
    <s v="Negocio"/>
    <s v="Definicion de estados y situaciones de Tarjeta de débito"/>
    <s v="Definición de estados de tarjeta de débito y motivos de bloqueo"/>
    <s v="Técnica"/>
    <s v="Medio"/>
    <d v="2026-06-03T00:00:00"/>
    <d v="1899-12-30T00:00:00"/>
    <d v="1899-12-30T00:00:00"/>
    <n v="0"/>
    <s v="Sonia B."/>
    <b v="1"/>
    <x v="1"/>
    <s v="Canales Asistidos"/>
    <n v="0"/>
  </r>
  <r>
    <n v="61"/>
    <x v="1"/>
    <s v="Mapa"/>
    <s v="MF-05340"/>
    <s v="SPACE"/>
    <s v="Bantotal"/>
    <s v="Fuente de origen de la Base de fraudes"/>
    <s v="Confirmar con BT el origen de la base de fraudes para la integración con APIs"/>
    <s v="Técnica"/>
    <s v="Medio"/>
    <d v="2026-04-15T00:00:00"/>
    <d v="1899-12-30T00:00:00"/>
    <d v="1899-12-30T00:00:00"/>
    <n v="0"/>
    <s v="Sonia B."/>
    <b v="1"/>
    <x v="1"/>
    <s v="Canales Asistidos"/>
    <n v="0"/>
  </r>
  <r>
    <n v="62"/>
    <x v="1"/>
    <s v="Mapa"/>
    <s v="MF-05340"/>
    <s v="SPACE"/>
    <s v="Bantotal"/>
    <s v="Fuente de origen para obtener la lista de países restringidos o prohibidos"/>
    <s v="Confirmar con BT el origen de la base de países restringidos o prohibidos"/>
    <s v="Técnica"/>
    <s v="Medio"/>
    <d v="2026-04-15T00:00:00"/>
    <d v="1899-12-30T00:00:00"/>
    <d v="1899-12-30T00:00:00"/>
    <n v="0"/>
    <s v="Sonia B."/>
    <b v="1"/>
    <x v="1"/>
    <s v="Canales Asistidos"/>
    <n v="0"/>
  </r>
  <r>
    <n v="63"/>
    <x v="1"/>
    <s v="Mapa"/>
    <s v="MF-04830"/>
    <s v="Reclamos y Dalis"/>
    <s v="Infraestructura"/>
    <s v="Habilitacion de accesos"/>
    <s v="Habilitacion de usuarios de desarrollo AWS DATA"/>
    <s v="Técnica"/>
    <s v="Medio"/>
    <d v="2026-03-31T00:00:00"/>
    <d v="1899-12-30T00:00:00"/>
    <d v="2026-03-31T00:00:00"/>
    <n v="0"/>
    <s v="Sonia B."/>
    <b v="1"/>
    <x v="0"/>
    <s v="Canales Asistidos"/>
    <n v="0"/>
  </r>
  <r>
    <n v="64"/>
    <x v="1"/>
    <s v="Mapa"/>
    <s v="MF-04830"/>
    <s v="Reclamos y Dalis"/>
    <s v="Data"/>
    <s v="Explotacion de datos"/>
    <s v="Disponibilizar informacion historica de reclamos en datalake."/>
    <s v="Técnica"/>
    <s v="Alta"/>
    <d v="2026-06-30T00:00:00"/>
    <d v="1899-12-30T00:00:00"/>
    <d v="2026-06-30T00:00:00"/>
    <n v="0"/>
    <s v="Jean Paul Astonitas"/>
    <b v="1"/>
    <x v="1"/>
    <s v="Canales Asistidos"/>
    <n v="0"/>
  </r>
  <r>
    <n v="65"/>
    <x v="1"/>
    <s v="Mapa"/>
    <s v="MF-04560"/>
    <s v="SPACE"/>
    <s v="Data"/>
    <s v="Reportes"/>
    <s v="Generación de reportes de usuarios con información retornada de Space"/>
    <s v="Técnica"/>
    <s v="Medio"/>
    <d v="2026-06-26T00:00:00"/>
    <d v="1899-12-30T00:00:00"/>
    <d v="1899-12-30T00:00:00"/>
    <n v="0"/>
    <s v="Sonia B."/>
    <b v="1"/>
    <x v="1"/>
    <s v="Canales Asistidos"/>
    <n v="0"/>
  </r>
  <r>
    <n v="66"/>
    <x v="1"/>
    <s v="Mapa"/>
    <s v="MF-04510"/>
    <s v="Cyberfinancial"/>
    <s v="Data"/>
    <s v="Migracion"/>
    <s v="Migracion de Datos (One shot) (UAT)"/>
    <s v="Técnica"/>
    <s v="Alta"/>
    <d v="2026-07-03T00:00:00"/>
    <d v="1899-12-30T00:00:00"/>
    <s v="TBD"/>
    <n v="0"/>
    <s v="Sonia B."/>
    <b v="1"/>
    <x v="2"/>
    <s v="Canales Asistidos"/>
    <n v="0"/>
  </r>
  <r>
    <n v="67"/>
    <x v="1"/>
    <s v="Mapa"/>
    <s v="MF-04510"/>
    <s v="Cyberfinancial"/>
    <s v="Infraestructura"/>
    <s v="Control M"/>
    <s v="Control M: transferencia de archivos"/>
    <s v="Técnica"/>
    <s v="Medio"/>
    <d v="2026-04-15T00:00:00"/>
    <d v="1899-12-30T00:00:00"/>
    <d v="1899-12-30T00:00:00"/>
    <n v="0"/>
    <s v="Sonia B."/>
    <b v="1"/>
    <x v="1"/>
    <s v="Canales Asistidos"/>
    <n v="0"/>
  </r>
  <r>
    <n v="68"/>
    <x v="1"/>
    <s v="Mapa"/>
    <s v="MF-04510"/>
    <s v="Cyberfinancial"/>
    <s v="Infraestructura"/>
    <s v="Habilitacion de accesos"/>
    <s v="Habilitacion de usuarios de desarrollo AWS DATA"/>
    <s v="Técnica"/>
    <s v="Medio"/>
    <d v="2026-03-31T00:00:00"/>
    <d v="1899-12-30T00:00:00"/>
    <d v="1899-12-30T00:00:00"/>
    <n v="0"/>
    <s v="Sonia B."/>
    <b v="1"/>
    <x v="1"/>
    <s v="Canales Asistidos"/>
    <n v="0"/>
  </r>
  <r>
    <n v="69"/>
    <x v="1"/>
    <s v="Mapa"/>
    <s v="MF-04495"/>
    <s v="SPACE"/>
    <s v="Bantotal"/>
    <s v="Definición de carga de datos"/>
    <s v="Definir fuente origen para carga de campañas "/>
    <s v="Técnica"/>
    <s v="Medio"/>
    <d v="2026-03-31T00:00:00"/>
    <d v="2026-04-07T00:00:00"/>
    <d v="1899-12-30T00:00:00"/>
    <n v="0"/>
    <s v="Sonia B."/>
    <b v="1"/>
    <x v="3"/>
    <s v="Canales Asistidos"/>
    <n v="0"/>
  </r>
  <r>
    <n v="70"/>
    <x v="1"/>
    <s v="Mapa"/>
    <s v="MF-04495"/>
    <s v="SPACE"/>
    <s v="Bantotal"/>
    <s v="Confirmacion de información"/>
    <s v="Confirmar donde residirán los No clientes (Personas que NO son clientes del Banco) "/>
    <s v="Técnica"/>
    <s v="Medio"/>
    <d v="2026-03-31T00:00:00"/>
    <d v="1899-12-30T00:00:00"/>
    <d v="1899-12-30T00:00:00"/>
    <n v="0"/>
    <s v="Sonia B."/>
    <b v="1"/>
    <x v="0"/>
    <s v="Canales Asistidos"/>
    <n v="0"/>
  </r>
  <r>
    <n v="71"/>
    <x v="1"/>
    <s v="Mapa"/>
    <s v="MF-04495"/>
    <s v="SPACE"/>
    <s v="Bantotal"/>
    <s v="Configuracion de estructura comercial"/>
    <s v="Estructura Comercial de Agencias y CC "/>
    <s v="Técnica"/>
    <s v="Medio"/>
    <d v="2026-04-10T00:00:00"/>
    <d v="1899-12-30T00:00:00"/>
    <d v="1899-12-30T00:00:00"/>
    <n v="0"/>
    <s v="Sonia B."/>
    <b v="1"/>
    <x v="1"/>
    <s v="Canales Asistidos"/>
    <n v="0"/>
  </r>
  <r>
    <n v="72"/>
    <x v="1"/>
    <s v="Mapa"/>
    <s v="MF-04480"/>
    <s v="SPACE"/>
    <s v="Cards &amp; Payments"/>
    <s v="Confirmar funcionalidades"/>
    <s v="Confirmar funcionalidades en las herramientas Vision+ e IG, entre otras."/>
    <s v="Técnica"/>
    <s v="Medio"/>
    <d v="2026-04-10T00:00:00"/>
    <d v="1899-12-30T00:00:00"/>
    <d v="1899-12-30T00:00:00"/>
    <n v="0"/>
    <s v="Sonia B."/>
    <b v="1"/>
    <x v="1"/>
    <s v="Canales Asistidos"/>
    <n v="0"/>
  </r>
  <r>
    <n v="73"/>
    <x v="1"/>
    <s v="Mapa"/>
    <s v="MF-04480"/>
    <s v="SPACE"/>
    <s v="Cyberfinancial"/>
    <s v="Integracion Cyberfinancial"/>
    <s v="Integración con cyberfinancial"/>
    <s v="Técnica"/>
    <s v="Medio"/>
    <d v="2026-03-31T00:00:00"/>
    <d v="1899-12-30T00:00:00"/>
    <d v="1899-12-30T00:00:00"/>
    <n v="0"/>
    <s v="Sonia B."/>
    <b v="1"/>
    <x v="3"/>
    <s v="Canales Asistidos"/>
    <n v="0"/>
  </r>
  <r>
    <n v="74"/>
    <x v="1"/>
    <s v="Mapa"/>
    <s v="MF-04480"/>
    <s v="SPACE"/>
    <s v="DMS"/>
    <s v="Confirmacion de funcionalidades "/>
    <s v="Confirmacion de funcionalidades actuales de DMS y roles para on demand"/>
    <s v="Técnica"/>
    <s v="Medio"/>
    <d v="2026-03-27T00:00:00"/>
    <d v="1899-12-30T00:00:00"/>
    <d v="1899-12-30T00:00:00"/>
    <n v="0"/>
    <s v="Sonia B."/>
    <b v="1"/>
    <x v="1"/>
    <s v="Canales Asistidos"/>
    <n v="0"/>
  </r>
  <r>
    <n v="75"/>
    <x v="1"/>
    <s v="Mapa"/>
    <s v="MF-04480"/>
    <s v="SPACE"/>
    <s v="Front consulta Documentos"/>
    <s v="Integración web documentos"/>
    <s v="Integración con aplicación de consulta de estados de cuenta"/>
    <s v="Técnica"/>
    <s v="Alta"/>
    <d v="2026-07-24T00:00:00"/>
    <d v="1899-12-30T00:00:00"/>
    <d v="1899-12-30T00:00:00"/>
    <n v="0"/>
    <s v="Sonia B."/>
    <b v="1"/>
    <x v="1"/>
    <s v="Canales Asistidos"/>
    <n v="0"/>
  </r>
  <r>
    <n v="76"/>
    <x v="1"/>
    <s v="Mapa"/>
    <s v="MF-04380"/>
    <s v="SPACE"/>
    <s v="Reclamos y Dalis"/>
    <s v="Integración quejas y reclamos"/>
    <s v="Integración con aplicación de quejas y reclamos"/>
    <s v="Técnica"/>
    <s v="Alta"/>
    <d v="2026-04-10T00:00:00"/>
    <d v="1899-12-30T00:00:00"/>
    <d v="1899-12-30T00:00:00"/>
    <n v="0"/>
    <s v="Sonia B."/>
    <b v="1"/>
    <x v="1"/>
    <s v="Canales Asistidos"/>
    <n v="0"/>
  </r>
  <r>
    <n v="77"/>
    <x v="1"/>
    <s v="Mapa"/>
    <s v="MF-04380"/>
    <s v="SPACE"/>
    <s v="Infraestructura"/>
    <s v="Conectividad"/>
    <s v="Central Telefonica"/>
    <s v="Técnica"/>
    <s v="Alta"/>
    <d v="2026-06-05T00:00:00"/>
    <d v="1899-12-30T00:00:00"/>
    <d v="1899-12-30T00:00:00"/>
    <n v="0"/>
    <s v="Sonia B."/>
    <b v="1"/>
    <x v="1"/>
    <s v="Canales Asistidos"/>
    <n v="0"/>
  </r>
  <r>
    <n v="78"/>
    <x v="1"/>
    <s v="Mapa"/>
    <s v="MF-04350"/>
    <s v="SPACE"/>
    <s v="Infraestructura"/>
    <s v="Conectividad"/>
    <s v="Central Telefonica"/>
    <s v="Técnica"/>
    <s v="Alta"/>
    <d v="2026-06-05T00:00:00"/>
    <d v="1899-12-30T00:00:00"/>
    <d v="1899-12-30T00:00:00"/>
    <n v="0"/>
    <s v="Sonia B."/>
    <b v="1"/>
    <x v="1"/>
    <s v="Canales Asistidos"/>
    <n v="0"/>
  </r>
  <r>
    <n v="79"/>
    <x v="1"/>
    <s v="Mapa"/>
    <s v="MF-04260"/>
    <s v="SPACE"/>
    <s v="Infraestructura"/>
    <s v="Conectividad"/>
    <s v="Central Telefonica"/>
    <s v="Técnica"/>
    <s v="Alta"/>
    <d v="2026-06-05T00:00:00"/>
    <d v="1899-12-30T00:00:00"/>
    <d v="1899-12-30T00:00:00"/>
    <n v="0"/>
    <s v="Sonia B."/>
    <b v="1"/>
    <x v="1"/>
    <s v="Canales Asistidos"/>
    <n v="0"/>
  </r>
  <r>
    <n v="80"/>
    <x v="1"/>
    <s v="Mapa"/>
    <s v="MF-04250"/>
    <s v="SPACE"/>
    <s v="Mesa de concesiones"/>
    <s v="Conexión a RENIEC"/>
    <s v="Link de ingreso a Reniec desde SPACE"/>
    <s v="Técnica"/>
    <s v="Medio"/>
    <d v="2026-07-24T00:00:00"/>
    <d v="1899-12-30T00:00:00"/>
    <d v="1899-12-30T00:00:00"/>
    <n v="0"/>
    <s v="Sonia B."/>
    <b v="1"/>
    <x v="1"/>
    <s v="Canales Asistidos"/>
    <n v="0"/>
  </r>
  <r>
    <n v="81"/>
    <x v="1"/>
    <s v="Mapa"/>
    <s v="MF-04230"/>
    <s v="SPACE"/>
    <s v="Infraestructura"/>
    <s v="Dispositivo biometrico"/>
    <s v="Disponibilidad del dispositivo biometrico"/>
    <s v="Infraestructura"/>
    <s v="Medio"/>
    <d v="2026-06-05T00:00:00"/>
    <d v="1899-12-30T00:00:00"/>
    <d v="1899-12-30T00:00:00"/>
    <n v="0"/>
    <s v="Sonia B."/>
    <b v="1"/>
    <x v="1"/>
    <s v="Canales Asistidos"/>
    <n v="0"/>
  </r>
  <r>
    <n v="82"/>
    <x v="1"/>
    <s v="Mapa"/>
    <s v="MF-04230"/>
    <s v="SPACE"/>
    <s v="Infraestructura"/>
    <s v="Dispositivo biometrico"/>
    <s v="Habilitación de Equipo con Biomatch Client"/>
    <s v="Infraestructura"/>
    <s v="Medio"/>
    <d v="2026-06-05T00:00:00"/>
    <d v="1899-12-30T00:00:00"/>
    <d v="1899-12-30T00:00:00"/>
    <n v="0"/>
    <s v="Sonia B."/>
    <b v="1"/>
    <x v="1"/>
    <s v="Canales Asistidos"/>
    <n v="0"/>
  </r>
  <r>
    <n v="83"/>
    <x v="1"/>
    <s v="Mapa"/>
    <s v="MF-04230"/>
    <s v="SPACE"/>
    <s v="Zytrust"/>
    <s v="Integracion"/>
    <s v="Autenticación/Identificación de cliente con huellero "/>
    <s v="Técnica"/>
    <s v="Medio"/>
    <d v="2026-04-06T00:00:00"/>
    <d v="1899-12-30T00:00:00"/>
    <d v="1899-12-30T00:00:00"/>
    <n v="0"/>
    <s v="Sonia B."/>
    <b v="1"/>
    <x v="1"/>
    <s v="Canales Asistidos"/>
    <n v="0"/>
  </r>
  <r>
    <n v="84"/>
    <x v="1"/>
    <s v="Mapa"/>
    <s v="MF-04200"/>
    <s v="SPACE"/>
    <s v="Prosegur"/>
    <s v="Link de ingreso a web PROSEGUR desde Space"/>
    <s v="Integración con aplicación web de Prosegur"/>
    <s v="Técnica"/>
    <s v="Alta"/>
    <d v="2026-07-24T00:00:00"/>
    <d v="1899-12-30T00:00:00"/>
    <d v="1899-12-30T00:00:00"/>
    <n v="0"/>
    <s v="Sonia B."/>
    <b v="1"/>
    <x v="1"/>
    <s v="Canales Asistidos"/>
    <n v="0"/>
  </r>
  <r>
    <n v="85"/>
    <x v="1"/>
    <s v="Mapa"/>
    <s v="MF-04200"/>
    <s v="SPACE"/>
    <s v="Enotria"/>
    <s v="Link de ingreso a Web Enotria desde Space"/>
    <s v="Integración con aplicación web de Enotria"/>
    <s v="Técnica"/>
    <s v="Alta"/>
    <d v="2026-07-24T00:00:00"/>
    <d v="1899-12-30T00:00:00"/>
    <d v="1899-12-30T00:00:00"/>
    <n v="0"/>
    <s v="Sonia B."/>
    <b v="1"/>
    <x v="1"/>
    <s v="Canales Asistidos"/>
    <n v="0"/>
  </r>
  <r>
    <n v="86"/>
    <x v="1"/>
    <s v="Mapa"/>
    <s v="MF-04180"/>
    <s v="SPACE"/>
    <s v="Infraestructura"/>
    <s v="Conectividad"/>
    <s v="Central Telefonica"/>
    <s v="Técnica"/>
    <s v="Alta"/>
    <d v="2026-04-30T00:00:00"/>
    <d v="1899-12-30T00:00:00"/>
    <d v="1899-12-30T00:00:00"/>
    <n v="0"/>
    <s v="Sonia B."/>
    <b v="1"/>
    <x v="1"/>
    <s v="Canales Asistidos"/>
    <n v="0"/>
  </r>
  <r>
    <n v="87"/>
    <x v="1"/>
    <s v="Mapa"/>
    <s v="MF-04160"/>
    <s v="SPACE"/>
    <s v="Reclamos y Dalis"/>
    <s v="Integración web quejas y reclamos"/>
    <s v="Integración con aplicación de quejas y reclamos"/>
    <s v="Técnica"/>
    <s v="Alta"/>
    <d v="2026-07-24T00:00:00"/>
    <d v="1899-12-30T00:00:00"/>
    <d v="1899-12-30T00:00:00"/>
    <n v="0"/>
    <s v="Sonia B."/>
    <b v="1"/>
    <x v="1"/>
    <s v="Canales Asistidos"/>
    <n v="0"/>
  </r>
  <r>
    <n v="88"/>
    <x v="1"/>
    <s v="Mapa"/>
    <s v="MF-04110"/>
    <s v="SPACE"/>
    <s v="Digital"/>
    <s v="Integración web asistidos"/>
    <s v="Integración de la web asistidos "/>
    <s v="Técnica"/>
    <s v="Alta"/>
    <d v="2026-06-26T00:00:00"/>
    <d v="1899-12-30T00:00:00"/>
    <d v="1899-12-30T00:00:00"/>
    <n v="0"/>
    <s v="Sonia B."/>
    <b v="1"/>
    <x v="1"/>
    <n v="0"/>
    <n v="0"/>
  </r>
  <r>
    <n v="89"/>
    <x v="1"/>
    <s v="Mapa"/>
    <s v="MF-04010"/>
    <s v="Cyberfinancial"/>
    <s v="Negocio"/>
    <s v="Definicion de Historias PI3"/>
    <s v="Cerrar con las historias de usaurio asocidas al PI3"/>
    <s v="Funcional"/>
    <s v="Medio"/>
    <d v="2026-06-12T00:00:00"/>
    <d v="1899-12-30T00:00:00"/>
    <s v="TBD"/>
    <n v="0"/>
    <s v="Sonia B."/>
    <b v="1"/>
    <x v="1"/>
    <s v="Canales Asistidos"/>
    <n v="0"/>
  </r>
  <r>
    <n v="90"/>
    <x v="1"/>
    <s v="Mapa"/>
    <s v="MF-03990"/>
    <s v="Cyberfinancial"/>
    <s v="Negocio"/>
    <s v="Definicion de Historias PI2"/>
    <s v="Cerrar con las historias de usuario asocidas al PI2"/>
    <s v="Funcional"/>
    <s v="Medio"/>
    <d v="2026-03-23T00:00:00"/>
    <d v="2026-04-10T00:00:00"/>
    <s v="TBD"/>
    <n v="0"/>
    <s v="Sonia B."/>
    <b v="1"/>
    <x v="3"/>
    <s v="Canales Asistidos"/>
    <n v="0"/>
  </r>
  <r>
    <n v="91"/>
    <x v="1"/>
    <s v="Mapa"/>
    <s v="MF-03885"/>
    <s v="SPACE"/>
    <s v="Ciberseguridad"/>
    <s v="Integración"/>
    <s v="Validación de las Url's de las aplicaciones externas a embeber en Space"/>
    <s v="Técnica"/>
    <s v="Alta"/>
    <d v="2026-04-10T00:00:00"/>
    <d v="1899-12-30T00:00:00"/>
    <d v="1899-12-30T00:00:00"/>
    <n v="0"/>
    <s v="Sonia B."/>
    <b v="1"/>
    <x v="1"/>
    <s v="Canales Asistidos"/>
    <n v="0"/>
  </r>
  <r>
    <n v="92"/>
    <x v="1"/>
    <s v="Mapa"/>
    <s v="MF-03880"/>
    <s v="SPACE"/>
    <s v="Ciberseguridad"/>
    <s v="Integración"/>
    <s v="Validación de las Url's de las aplicaciones externas a embeber en Space"/>
    <s v="Técnica"/>
    <s v="Alta"/>
    <d v="2026-04-10T00:00:00"/>
    <d v="1899-12-30T00:00:00"/>
    <d v="1899-12-30T00:00:00"/>
    <n v="0"/>
    <s v="Sonia B."/>
    <b v="1"/>
    <x v="1"/>
    <s v="Canales Asistidos"/>
    <n v="0"/>
  </r>
  <r>
    <n v="93"/>
    <x v="1"/>
    <s v="Mapa"/>
    <s v="MF-03840"/>
    <s v="SPACE"/>
    <s v="Digital"/>
    <s v="Integración web asistidos"/>
    <s v="Integración de la web asistidos "/>
    <s v="Técnica"/>
    <s v="Alta"/>
    <d v="2026-06-26T00:00:00"/>
    <d v="1899-12-30T00:00:00"/>
    <d v="1899-12-30T00:00:00"/>
    <n v="0"/>
    <s v="Sonia B."/>
    <b v="1"/>
    <x v="1"/>
    <s v="Canales Asistidos"/>
    <n v="0"/>
  </r>
  <r>
    <n v="94"/>
    <x v="1"/>
    <s v="Mapa"/>
    <s v="MF-03790"/>
    <s v="Cyberfinancial"/>
    <s v="Bantotal"/>
    <s v="Data de prestamos"/>
    <s v="Generacion de UDA 1 y 2 para envio informacion Préstamos (UAT)"/>
    <s v="Técnica"/>
    <s v="Alta"/>
    <d v="2026-07-01T00:00:00"/>
    <d v="1899-12-30T00:00:00"/>
    <s v="TBD"/>
    <n v="0"/>
    <s v="Sonia B."/>
    <b v="1"/>
    <x v="0"/>
    <s v="Canales Asistidos"/>
    <n v="0"/>
  </r>
  <r>
    <n v="95"/>
    <x v="1"/>
    <s v="Mapa"/>
    <s v="MF-03790"/>
    <s v="Cyberfinancial"/>
    <s v="Ciberseguridad"/>
    <s v="Comunicación entre DEV local y PRE ODS"/>
    <s v="Comunicacíón entre ambientes para probra el SFTP a ser utilizado en la carga diaria y One Shot"/>
    <s v="Técnica"/>
    <s v="Alta"/>
    <d v="2026-03-23T00:00:00"/>
    <d v="1899-12-30T00:00:00"/>
    <s v="TBD"/>
    <n v="0"/>
    <s v="Sonia B."/>
    <b v="1"/>
    <x v="0"/>
    <s v="Canales Asistidos"/>
    <n v="0"/>
  </r>
  <r>
    <n v="96"/>
    <x v="1"/>
    <s v="Mapa"/>
    <s v="MF-03780"/>
    <s v="Cyberfinancial"/>
    <s v="Bantotal"/>
    <s v="Data de prestamos"/>
    <s v="Generacion de UDA 1 y 2 para envio informacion Préstamos (UAT)"/>
    <s v="Técnica"/>
    <s v="Alta"/>
    <d v="2026-07-01T00:00:00"/>
    <d v="1899-12-30T00:00:00"/>
    <s v="TBD"/>
    <n v="0"/>
    <s v="Sonia B."/>
    <b v="1"/>
    <x v="0"/>
    <s v="Canales Asistidos"/>
    <n v="0"/>
  </r>
  <r>
    <n v="97"/>
    <x v="1"/>
    <s v="Mapa"/>
    <s v="MF-03780"/>
    <s v="Cyberfinancial"/>
    <s v="Cards &amp; Payments"/>
    <s v="Conciliación (TC)"/>
    <s v="Generacion de UDA 6 para envio de informacion TC (UAT)"/>
    <s v="Técnica"/>
    <s v="Alta"/>
    <d v="2026-07-01T00:00:00"/>
    <d v="1899-12-30T00:00:00"/>
    <s v="TBD"/>
    <n v="0"/>
    <s v="Sonia B."/>
    <b v="1"/>
    <x v="0"/>
    <s v="Canales Asistidos"/>
    <n v="0"/>
  </r>
  <r>
    <n v="98"/>
    <x v="1"/>
    <s v="Mapa"/>
    <s v="MF-03780"/>
    <s v="Cyberfinancial"/>
    <s v="Ciberseguridad"/>
    <s v="Comunicación entre DEV local y PRE ODS"/>
    <s v="Comunicacíón entre ambientes para probra el SFTP a ser utilizado en la carga diaria y One Shot"/>
    <s v="Técnica"/>
    <s v="Alta"/>
    <d v="2026-03-23T00:00:00"/>
    <d v="1899-12-30T00:00:00"/>
    <s v="TBD"/>
    <n v="0"/>
    <s v="Sonia B."/>
    <b v="1"/>
    <x v="0"/>
    <s v="Canales Asistidos"/>
    <n v="0"/>
  </r>
  <r>
    <n v="99"/>
    <x v="1"/>
    <s v="Mapa"/>
    <s v="MF-03790"/>
    <s v="Cyberfinancial"/>
    <s v="Data"/>
    <s v="Data de prestamos"/>
    <s v="Generacion de UDA 1 y 2 para envio informacion Préstamos (UAT)"/>
    <s v="Técnica"/>
    <s v="Alta"/>
    <d v="2026-07-01T00:00:00"/>
    <d v="1899-12-30T00:00:00"/>
    <s v="TBD"/>
    <n v="0"/>
    <s v="Sonia B."/>
    <b v="1"/>
    <x v="2"/>
    <s v="Canales Asistidos"/>
    <n v="0"/>
  </r>
  <r>
    <n v="100"/>
    <x v="1"/>
    <s v="Mapa"/>
    <s v="MF-03780"/>
    <s v="Cyberfinancial"/>
    <s v="Data"/>
    <s v="Data de prestamos"/>
    <s v="Generacion de UDA 1 y 2 para envio informacion Préstamos (UAT)"/>
    <s v="Técnica"/>
    <s v="Alta"/>
    <d v="2026-07-01T00:00:00"/>
    <d v="1899-12-30T00:00:00"/>
    <s v="TBD"/>
    <n v="0"/>
    <s v="Sonia B."/>
    <b v="1"/>
    <x v="2"/>
    <s v="Canales Asistidos"/>
    <n v="0"/>
  </r>
  <r>
    <n v="101"/>
    <x v="1"/>
    <s v="Mapa"/>
    <s v="MF-03770"/>
    <s v="Cyberfinancial"/>
    <s v="Data"/>
    <s v="Data de prestamos"/>
    <s v="Generacion de UDA 1 y 2 para envio informacion Préstamos (UAT)"/>
    <s v="Técnica"/>
    <s v="Alta"/>
    <d v="2026-07-01T00:00:00"/>
    <d v="1899-12-30T00:00:00"/>
    <s v="TBD"/>
    <n v="0"/>
    <s v="Sonia B."/>
    <b v="1"/>
    <x v="2"/>
    <s v="Canales Asistidos"/>
    <n v="0"/>
  </r>
  <r>
    <n v="102"/>
    <x v="1"/>
    <s v="Mapa"/>
    <s v="MF-03760"/>
    <s v="Cyberfinancial"/>
    <s v="Data"/>
    <s v="Data de prestamos"/>
    <s v="Generacion de UDA 1 y 2 para envio informacion Préstamos (UAT)"/>
    <s v="Técnica"/>
    <s v="Alta"/>
    <d v="2026-07-01T00:00:00"/>
    <d v="1899-12-30T00:00:00"/>
    <s v="TBD"/>
    <n v="0"/>
    <s v="Sonia B."/>
    <b v="1"/>
    <x v="2"/>
    <s v="Canales Asistidos"/>
    <n v="0"/>
  </r>
  <r>
    <n v="103"/>
    <x v="1"/>
    <s v="Mapa"/>
    <s v="MF-03750"/>
    <s v="Cyberfinancial"/>
    <s v="Data"/>
    <s v="Data de prestamos"/>
    <s v="Generacion de UDA 1 y 2 para envio informacion Préstamos (UAT)"/>
    <s v="Técnica"/>
    <s v="Alta"/>
    <d v="2026-07-01T00:00:00"/>
    <d v="1899-12-30T00:00:00"/>
    <s v="TBD"/>
    <n v="0"/>
    <s v="Sonia B."/>
    <b v="1"/>
    <x v="2"/>
    <s v="Canales Asistidos"/>
    <n v="0"/>
  </r>
  <r>
    <n v="104"/>
    <x v="1"/>
    <s v="Mapa"/>
    <s v="MF-03770"/>
    <s v="Cyberfinancial"/>
    <s v="Bantotal"/>
    <s v="Data de prestamos"/>
    <s v="Generacion de UDA 1 y 2 para envio informacion Préstamos (UAT)"/>
    <s v="Técnica"/>
    <s v="Alta"/>
    <d v="2026-07-01T00:00:00"/>
    <d v="1899-12-30T00:00:00"/>
    <s v="TBD"/>
    <n v="0"/>
    <s v="Sonia B."/>
    <b v="1"/>
    <x v="0"/>
    <s v="Canales Asistidos"/>
    <n v="0"/>
  </r>
  <r>
    <n v="105"/>
    <x v="1"/>
    <s v="Mapa"/>
    <s v="MF-03770"/>
    <s v="Cyberfinancial"/>
    <s v="Cards &amp; Payments"/>
    <s v="Conciliación (TC)"/>
    <s v="Generacion de UDA 6 para envio de informacion TC (UAT)"/>
    <s v="Técnica"/>
    <s v="Alta"/>
    <d v="2026-07-01T00:00:00"/>
    <d v="1899-12-30T00:00:00"/>
    <s v="TBD"/>
    <n v="0"/>
    <s v="Sonia B."/>
    <b v="1"/>
    <x v="0"/>
    <s v="Canales Asistidos"/>
    <n v="0"/>
  </r>
  <r>
    <n v="106"/>
    <x v="1"/>
    <s v="Mapa"/>
    <s v="MF-03770"/>
    <s v="Cyberfinancial"/>
    <s v="Ciberseguridad"/>
    <s v="Comunicación entre DEV local y PRE ODS"/>
    <s v="Comunicacíón entre ambientes para probra el SFTP a ser utilizado en la carga diaria y One Shot"/>
    <s v="Técnica"/>
    <s v="Alta"/>
    <d v="2026-03-23T00:00:00"/>
    <d v="1899-12-30T00:00:00"/>
    <s v="TBD"/>
    <n v="0"/>
    <s v="Sonia B."/>
    <b v="1"/>
    <x v="0"/>
    <s v="Canales Asistidos"/>
    <n v="0"/>
  </r>
  <r>
    <n v="107"/>
    <x v="1"/>
    <s v="Mapa"/>
    <s v="MF-03760"/>
    <s v="Cyberfinancial"/>
    <s v="Bantotal"/>
    <s v="Data de prestamos"/>
    <s v="Generacion de UDA 1 y 2 para envio informacion Préstamos (UAT)"/>
    <s v="Técnica"/>
    <s v="Alta"/>
    <d v="2026-07-01T00:00:00"/>
    <d v="1899-12-30T00:00:00"/>
    <s v="TBD"/>
    <n v="0"/>
    <s v="Sonia B."/>
    <b v="1"/>
    <x v="0"/>
    <s v="Canales Asistidos"/>
    <n v="0"/>
  </r>
  <r>
    <n v="108"/>
    <x v="1"/>
    <s v="Mapa"/>
    <s v="MF-03780"/>
    <s v="Cyberfinancial"/>
    <s v="Data"/>
    <s v="Conciliación (TC)"/>
    <s v="Generacion de UDA 6 para envio de informacion TC (UAT)"/>
    <s v="Técnica"/>
    <s v="Alta"/>
    <d v="2026-07-01T00:00:00"/>
    <d v="1899-12-30T00:00:00"/>
    <s v="TBD"/>
    <n v="0"/>
    <s v="Sonia B."/>
    <b v="1"/>
    <x v="2"/>
    <s v="Canales Asistidos"/>
    <n v="0"/>
  </r>
  <r>
    <n v="109"/>
    <x v="1"/>
    <s v="Mapa"/>
    <s v="MF-03770"/>
    <s v="Cyberfinancial"/>
    <s v="Data"/>
    <s v="Conciliación (TC)"/>
    <s v="Generacion de UDA 6 para envio de informacion TC (UAT)"/>
    <s v="Técnica"/>
    <s v="Alta"/>
    <d v="2026-07-01T00:00:00"/>
    <d v="1899-12-30T00:00:00"/>
    <s v="TBD"/>
    <n v="0"/>
    <s v="Sonia B."/>
    <b v="1"/>
    <x v="2"/>
    <s v="Canales Asistidos"/>
    <n v="0"/>
  </r>
  <r>
    <n v="110"/>
    <x v="1"/>
    <s v="Mapa"/>
    <s v="MF-03750"/>
    <s v="Cyberfinancial"/>
    <s v="Data"/>
    <s v="Conciliación (TC)"/>
    <s v="Generacion de UDA 6 para envio de informacion TC (UAT)"/>
    <s v="Técnica"/>
    <s v="Alta"/>
    <d v="2026-07-01T00:00:00"/>
    <d v="1899-12-30T00:00:00"/>
    <s v="TBD"/>
    <n v="0"/>
    <s v="Sonia B."/>
    <b v="1"/>
    <x v="2"/>
    <s v="Canales Asistidos"/>
    <n v="0"/>
  </r>
  <r>
    <n v="111"/>
    <x v="1"/>
    <s v="Mapa"/>
    <s v="MF-03750"/>
    <s v="Cyberfinancial"/>
    <s v="Cards &amp; Payments"/>
    <s v="Conciliación (TC)"/>
    <s v="Generacion de UDA 6 para envio de informacion TC (UAT)"/>
    <s v="Técnica"/>
    <s v="Alta"/>
    <d v="2026-07-01T00:00:00"/>
    <d v="1899-12-30T00:00:00"/>
    <s v="TBD"/>
    <n v="0"/>
    <s v="Sonia B."/>
    <b v="1"/>
    <x v="0"/>
    <s v="Canales Asistidos"/>
    <n v="0"/>
  </r>
  <r>
    <n v="112"/>
    <x v="1"/>
    <s v="Mapa"/>
    <s v="MF-03750"/>
    <s v="Cyberfinancial"/>
    <s v="Ciberseguridad"/>
    <s v="Comunicación entre DEV local y PRE ODS"/>
    <s v="Comunicacíón entre ambientes para probra el SFTP a ser utilizado en la carga diaria y One Shot"/>
    <s v="Técnica"/>
    <s v="Alta"/>
    <d v="2026-03-23T00:00:00"/>
    <d v="1899-12-30T00:00:00"/>
    <s v="TBD"/>
    <n v="0"/>
    <s v="Sonia B."/>
    <b v="1"/>
    <x v="0"/>
    <s v="Canales Asistidos"/>
    <n v="0"/>
  </r>
  <r>
    <n v="113"/>
    <x v="1"/>
    <s v="Mapa"/>
    <s v="MF-03750"/>
    <s v="Cyberfinancial"/>
    <s v="Modellica"/>
    <s v="Archivo LST - Estrategia de cobranzas"/>
    <s v="Disponibilizar archivo LST para estrategia cobranzas (UAT)"/>
    <s v="Técnica"/>
    <s v="Alta"/>
    <d v="2026-07-01T00:00:00"/>
    <d v="1899-12-30T00:00:00"/>
    <d v="2026-10-15T00:00:00"/>
    <n v="0"/>
    <s v="Sonia B."/>
    <b v="1"/>
    <x v="2"/>
    <s v="Canales Asistidos"/>
    <n v="0"/>
  </r>
  <r>
    <n v="114"/>
    <x v="1"/>
    <s v="Mapa"/>
    <s v="MF-03750"/>
    <s v="Cyberfinancial"/>
    <s v="Bantotal"/>
    <s v="Data de prestamos"/>
    <s v="Generacion de UDA 1 y 2 para envio informacion Préstamos (UAT)"/>
    <s v="Técnica"/>
    <s v="Alta"/>
    <d v="2026-07-01T00:00:00"/>
    <d v="1899-12-30T00:00:00"/>
    <s v="TBD"/>
    <n v="0"/>
    <s v="Sonia B."/>
    <b v="1"/>
    <x v="0"/>
    <s v="Canales Asistidos"/>
    <n v="0"/>
  </r>
  <r>
    <n v="115"/>
    <x v="1"/>
    <s v="Mapa"/>
    <s v="MF-03740"/>
    <s v="SPACE"/>
    <s v="Negocio"/>
    <s v="Definición de tipos de campañas"/>
    <s v="Configuración de campañas para agente de servicio"/>
    <s v="Funcional"/>
    <s v="Medio"/>
    <d v="2026-03-31T00:00:00"/>
    <d v="1899-12-30T00:00:00"/>
    <d v="1899-12-30T00:00:00"/>
    <n v="0"/>
    <s v="Sonia B."/>
    <b v="1"/>
    <x v="1"/>
    <s v="Canales Asistidos"/>
    <n v="0"/>
  </r>
  <r>
    <n v="116"/>
    <x v="1"/>
    <s v="Mapa"/>
    <s v="MF-03730"/>
    <s v="SPACE"/>
    <s v="Negocio"/>
    <s v="Definición de tipos de campañas"/>
    <s v="Configuración de campañas para agente de cobranza"/>
    <s v="Funcional"/>
    <s v="Medio"/>
    <d v="2026-03-31T00:00:00"/>
    <d v="1899-12-30T00:00:00"/>
    <d v="1899-12-30T00:00:00"/>
    <n v="0"/>
    <s v="Sonia B."/>
    <b v="1"/>
    <x v="1"/>
    <s v="Canales Asistidos"/>
    <n v="0"/>
  </r>
  <r>
    <n v="117"/>
    <x v="1"/>
    <s v="Mapa"/>
    <s v="MF-03450"/>
    <s v="Cyberfinancial"/>
    <s v="Modellica"/>
    <s v="Archivo LST - Estrategia de cobranzas"/>
    <s v="Disponibilizar archivo LST para estrategia cobranzas (UAT)"/>
    <s v="Técnica"/>
    <s v="Alta"/>
    <d v="2026-07-01T00:00:00"/>
    <d v="1899-12-30T00:00:00"/>
    <d v="2026-10-15T00:00:00"/>
    <n v="0"/>
    <s v="Sonia B."/>
    <b v="1"/>
    <x v="2"/>
    <s v="Canales Asistidos"/>
    <n v="0"/>
  </r>
  <r>
    <n v="118"/>
    <x v="1"/>
    <s v="Mapa"/>
    <s v="MF-03440"/>
    <s v="SPACE"/>
    <s v="Negocio"/>
    <s v="Definir los roles para contact center"/>
    <s v="Configuracion de Roles Genesys cloud"/>
    <s v="Funcional"/>
    <s v="Medio"/>
    <d v="2026-03-31T00:00:00"/>
    <d v="1899-12-30T00:00:00"/>
    <d v="1899-12-30T00:00:00"/>
    <n v="0"/>
    <s v="Sonia B."/>
    <b v="1"/>
    <x v="0"/>
    <s v="Canales Asistidos"/>
    <n v="0"/>
  </r>
  <r>
    <n v="119"/>
    <x v="1"/>
    <s v="Mapa"/>
    <s v="MF-03430"/>
    <s v="SPACE"/>
    <s v="Negocio"/>
    <s v="Definir los roles para contact center"/>
    <s v="Configuracion de Roles Contact Center"/>
    <s v="Funcional"/>
    <s v="Medio"/>
    <d v="2026-03-31T00:00:00"/>
    <d v="1899-12-30T00:00:00"/>
    <d v="1899-12-30T00:00:00"/>
    <n v="0"/>
    <s v="Sonia B."/>
    <b v="1"/>
    <x v="0"/>
    <s v="Canales Asistidos"/>
    <n v="0"/>
  </r>
  <r>
    <n v="120"/>
    <x v="1"/>
    <s v="Mapa"/>
    <s v="MF-03420"/>
    <s v="SPACE"/>
    <s v="Negocio"/>
    <s v="Definir los roles para agencias"/>
    <s v="Configuracion de Roles Agencias"/>
    <s v="Funcional"/>
    <s v="Medio"/>
    <d v="2026-03-31T00:00:00"/>
    <d v="1899-12-30T00:00:00"/>
    <d v="1899-12-30T00:00:00"/>
    <n v="0"/>
    <s v="Sonia B."/>
    <b v="1"/>
    <x v="0"/>
    <s v="Canales Asistidos"/>
    <n v="0"/>
  </r>
  <r>
    <n v="121"/>
    <x v="1"/>
    <s v="Mapa"/>
    <s v="MF-03410"/>
    <s v="SPACE"/>
    <s v="Negocio"/>
    <s v="Definición de segmentos de cliente"/>
    <s v="Confirmar los segmentos para que se derive a las colas de asesores dentro de la integración con IVR"/>
    <s v="Técnica"/>
    <s v="Medio"/>
    <d v="2026-08-07T00:00:00"/>
    <d v="1899-12-30T00:00:00"/>
    <d v="1899-12-30T00:00:00"/>
    <n v="0"/>
    <s v="Sonia B."/>
    <b v="1"/>
    <x v="1"/>
    <s v="Canales Asistidos"/>
    <n v="0"/>
  </r>
  <r>
    <n v="122"/>
    <x v="1"/>
    <s v="Mapa"/>
    <s v="MF-03400"/>
    <s v="SPACE"/>
    <s v="Data"/>
    <s v="Definir la información que se requiere enviar al Datalake"/>
    <s v="Configuracion de reportes Contact Center"/>
    <s v="Funcional"/>
    <s v="Medio"/>
    <d v="2026-06-26T00:00:00"/>
    <d v="1899-12-30T00:00:00"/>
    <d v="1899-12-30T00:00:00"/>
    <n v="0"/>
    <s v="Sonia B."/>
    <b v="1"/>
    <x v="1"/>
    <s v="Canales Asistidos"/>
    <n v="0"/>
  </r>
  <r>
    <n v="123"/>
    <x v="1"/>
    <s v="Mapa"/>
    <s v="MF-03390"/>
    <s v="SPACE"/>
    <s v="Data"/>
    <s v="Definir la información que se requiere enviar al Datalake"/>
    <s v="Configuracion de reportes Agencia"/>
    <s v="Funcional"/>
    <s v="Medio"/>
    <d v="2026-06-26T00:00:00"/>
    <d v="1899-12-30T00:00:00"/>
    <d v="1899-12-30T00:00:00"/>
    <n v="0"/>
    <s v="Sonia B."/>
    <b v="1"/>
    <x v="1"/>
    <s v="Canales Asistidos"/>
    <n v="0"/>
  </r>
  <r>
    <n v="124"/>
    <x v="1"/>
    <s v="Mapa"/>
    <s v="MF-03380"/>
    <s v="Reclamos y Dalis"/>
    <s v="Izipay"/>
    <s v="Integración &amp; Conectividad"/>
    <s v="Integración tipo batch para la comunicación entre IZIPAY y BANTOTAL para el sistema de reclamos y DALIs – canal Contact Center"/>
    <s v="Técnica"/>
    <s v="Alta"/>
    <d v="2026-10-30T00:00:00"/>
    <d v="1899-12-30T00:00:00"/>
    <d v="2026-10-30T00:00:00"/>
    <s v="Se Probará en Junio con Simuladores en UAT"/>
    <s v="Fredy C."/>
    <b v="1"/>
    <x v="1"/>
    <s v="Canales Asistidos"/>
    <n v="0"/>
  </r>
  <r>
    <n v="125"/>
    <x v="1"/>
    <s v="Mapa"/>
    <s v="MF-03330"/>
    <s v="Reclamos y Dalis"/>
    <s v="Izipay"/>
    <s v="Integración &amp; Conectividad"/>
    <s v="Integración tipo batch para la comunicación entre IZIPAY y BANTOTAL para el sistema de reclamos y DALIs – canal Agencia."/>
    <s v="Técnica"/>
    <s v="Alta"/>
    <d v="2026-10-30T00:00:00"/>
    <d v="1899-12-30T00:00:00"/>
    <d v="2026-10-30T00:00:00"/>
    <s v="Se Probará en Junio con Simuladores en UAT"/>
    <s v="Fredy C."/>
    <b v="1"/>
    <x v="1"/>
    <s v="Canales Asistidos"/>
    <n v="0"/>
  </r>
  <r>
    <n v="126"/>
    <x v="1"/>
    <s v="Mapa"/>
    <s v="MF-03330"/>
    <s v="Reclamos y Dalis"/>
    <s v="Infraestructura"/>
    <s v="Control M"/>
    <s v="Control M: transferencia de archivos"/>
    <s v="Técnica"/>
    <s v="Medio"/>
    <d v="2026-04-15T00:00:00"/>
    <d v="1899-12-30T00:00:00"/>
    <d v="1899-12-30T00:00:00"/>
    <n v="0"/>
    <s v="Sonia B."/>
    <b v="1"/>
    <x v="1"/>
    <s v="Canales Asistidos"/>
    <n v="0"/>
  </r>
  <r>
    <n v="127"/>
    <x v="1"/>
    <s v="Mapa"/>
    <s v="MF-03315"/>
    <s v="SPACE"/>
    <s v="ODS"/>
    <s v="Definición de herramienta a usar"/>
    <s v="Definir que herramienta se usara para llamadas en las agencias"/>
    <s v="Infraestructura"/>
    <s v="Alta"/>
    <d v="2026-06-05T00:00:00"/>
    <d v="1899-12-30T00:00:00"/>
    <d v="1899-12-30T00:00:00"/>
    <n v="0"/>
    <s v="Sonia B."/>
    <b v="1"/>
    <x v="1"/>
    <s v="Canales Asistidos"/>
    <n v="0"/>
  </r>
  <r>
    <n v="128"/>
    <x v="1"/>
    <s v="Mapa"/>
    <s v="MF-03310"/>
    <s v="SPACE"/>
    <s v="ODS"/>
    <s v="Definición de herramienta a usar"/>
    <s v="Definir que herramienta se usara para llamadas en las agencias"/>
    <s v="Infraestructura"/>
    <s v="Alta"/>
    <d v="2026-06-05T00:00:00"/>
    <d v="1899-12-30T00:00:00"/>
    <d v="1899-12-30T00:00:00"/>
    <n v="0"/>
    <s v="Sonia B."/>
    <b v="1"/>
    <x v="1"/>
    <s v="Canales Asistidos"/>
    <n v="0"/>
  </r>
  <r>
    <n v="129"/>
    <x v="1"/>
    <s v="Mapa"/>
    <s v="MF-03305"/>
    <s v="SPACE"/>
    <s v="Infraestructura"/>
    <s v="Conectividad"/>
    <s v="Central Telefonica"/>
    <s v="Técnica"/>
    <n v="0"/>
    <d v="2026-06-05T00:00:00"/>
    <d v="1899-12-30T00:00:00"/>
    <d v="1899-12-30T00:00:00"/>
    <n v="0"/>
    <s v="Sonia B."/>
    <b v="1"/>
    <x v="1"/>
    <s v="Canales Asistidos"/>
    <n v="0"/>
  </r>
  <r>
    <n v="130"/>
    <x v="1"/>
    <s v="Mapa"/>
    <s v="MF-03300"/>
    <s v="SPACE"/>
    <s v="Infraestructura"/>
    <s v="Conectividad"/>
    <s v="Central Telefonica"/>
    <s v="Técnica"/>
    <n v="0"/>
    <d v="2026-06-05T00:00:00"/>
    <d v="1899-12-30T00:00:00"/>
    <d v="1899-12-30T00:00:00"/>
    <n v="0"/>
    <s v="Sonia B."/>
    <b v="1"/>
    <x v="1"/>
    <s v="Canales Asistidos"/>
    <n v="0"/>
  </r>
  <r>
    <n v="131"/>
    <x v="1"/>
    <s v="Mapa"/>
    <s v="MF-00180"/>
    <s v="SPACE"/>
    <s v="Infraestructura"/>
    <s v="Habilitacion de telefonía CC"/>
    <s v="Habilitacion de telefonía para el contact center"/>
    <s v="Infraestructura"/>
    <s v="Alta"/>
    <d v="2026-06-05T00:00:00"/>
    <d v="1899-12-30T00:00:00"/>
    <d v="1899-12-30T00:00:00"/>
    <n v="0"/>
    <s v="Sonia B."/>
    <b v="1"/>
    <x v="1"/>
    <s v="Canales Asistidos"/>
    <n v="0"/>
  </r>
  <r>
    <n v="132"/>
    <x v="1"/>
    <s v="Mapa"/>
    <n v="0"/>
    <s v="Genesys Cloud"/>
    <n v="0"/>
    <s v="Fila 237 (Generación de data para analítica)"/>
    <s v="Contar con Datalake para almacenamiento de información"/>
    <n v="0"/>
    <n v="0"/>
    <d v="1899-12-30T00:00:00"/>
    <d v="1899-12-30T00:00:00"/>
    <d v="1899-12-30T00:00:00"/>
    <n v="0"/>
    <n v="0"/>
    <b v="1"/>
    <x v="1"/>
    <n v="0"/>
    <n v="0"/>
  </r>
  <r>
    <n v="133"/>
    <x v="1"/>
    <s v="Mapa"/>
    <n v="0"/>
    <s v="Genesys Cloud"/>
    <n v="0"/>
    <s v="Fila 238 (Generación de data para analítica)"/>
    <s v="Contar con Datalake para almacenamiento de información"/>
    <n v="0"/>
    <n v="0"/>
    <d v="1899-12-30T00:00:00"/>
    <d v="1899-12-30T00:00:00"/>
    <d v="1899-12-30T00:00:00"/>
    <n v="0"/>
    <n v="0"/>
    <b v="1"/>
    <x v="1"/>
    <n v="0"/>
    <n v="0"/>
  </r>
  <r>
    <n v="134"/>
    <x v="1"/>
    <s v="Mapa"/>
    <s v="P-95"/>
    <s v="Cyberfinancial"/>
    <s v="Negocio"/>
    <s v="Validación de formatos blancos 1, 2 y 6"/>
    <s v="Validación de formatos blancos 1, 2 y 6"/>
    <s v="Técnica"/>
    <s v="Alta"/>
    <d v="2026-04-01T00:00:00"/>
    <d v="1899-12-30T00:00:00"/>
    <d v="2026-04-01T00:00:00"/>
    <n v="0"/>
    <s v="Sonia B."/>
    <b v="1"/>
    <x v="2"/>
    <s v="Canales Asistidos"/>
    <n v="0"/>
  </r>
  <r>
    <n v="135"/>
    <x v="1"/>
    <s v="Mapa"/>
    <s v="P-95"/>
    <s v="Cyberfinancial"/>
    <s v="Data"/>
    <s v="Data de prueba – Base de Datos RGTRABAJO"/>
    <s v="Solicitud de data de prueba – Base de Datos RGTRABAJO"/>
    <s v="Técnica"/>
    <s v="Alta"/>
    <d v="2026-04-07T00:00:00"/>
    <d v="1899-12-30T00:00:00"/>
    <d v="2026-04-07T00:00:00"/>
    <n v="0"/>
    <s v="Sonia B."/>
    <b v="1"/>
    <x v="2"/>
    <s v="Canales Asistidos"/>
    <n v="0"/>
  </r>
  <r>
    <n v="1"/>
    <x v="2"/>
    <s v="Cascada"/>
    <n v="0"/>
    <s v="Integración"/>
    <s v="Bantotal"/>
    <s v="Ejecución OT Bantotal PI1"/>
    <s v="SC1274 - Integraciones ODS - Servicios de Contact Points: campos adicionales"/>
    <s v="Técnica"/>
    <s v="Medio"/>
    <d v="1899-12-30T00:00:00"/>
    <d v="1899-12-30T00:00:00"/>
    <d v="1899-12-30T00:00:00"/>
    <n v="0"/>
    <s v="Carol Carbajal"/>
    <b v="1"/>
    <x v="0"/>
    <s v="Integración"/>
    <n v="0"/>
  </r>
  <r>
    <n v="2"/>
    <x v="2"/>
    <s v="Cascada"/>
    <n v="0"/>
    <s v="Integración"/>
    <s v="Bantotal"/>
    <s v="Ejecución OT Bantotal PI1"/>
    <s v="SC1301 - Integraciones - Agregar CCI a Servicio de CuentasAsociadas a Tarjeta de Débito"/>
    <s v="Técnica"/>
    <s v="Medio"/>
    <d v="1899-12-30T00:00:00"/>
    <d v="1899-12-30T00:00:00"/>
    <d v="1899-12-30T00:00:00"/>
    <n v="0"/>
    <s v="Carol Carbajal"/>
    <b v="1"/>
    <x v="0"/>
    <s v="Integración"/>
    <n v="0"/>
  </r>
  <r>
    <n v="3"/>
    <x v="2"/>
    <s v="Cascada"/>
    <n v="0"/>
    <s v="Integración"/>
    <s v="Bantotal"/>
    <s v="Ejecución OT Bantotal PI1"/>
    <s v="SC1328 - Fusionar servicios de obtener datos del usuario y obtener detalle de sucursal"/>
    <s v="Técnica"/>
    <s v="Medio"/>
    <d v="1899-12-30T00:00:00"/>
    <d v="1899-12-30T00:00:00"/>
    <d v="1899-12-30T00:00:00"/>
    <n v="0"/>
    <s v="Carol Carbajal"/>
    <b v="1"/>
    <x v="0"/>
    <s v="Integración"/>
    <n v="0"/>
  </r>
  <r>
    <n v="4"/>
    <x v="2"/>
    <s v="Cascada"/>
    <n v="0"/>
    <s v="Integración"/>
    <s v="Bantotal"/>
    <s v="Ejecución OT Bantotal PI1"/>
    <s v="SC1311 - Integraciones - Formato del Campo idOperacionfmt"/>
    <s v="Técnica"/>
    <s v="Medio"/>
    <d v="1899-12-30T00:00:00"/>
    <d v="1899-12-30T00:00:00"/>
    <d v="1899-12-30T00:00:00"/>
    <n v="0"/>
    <s v="Carol Carbajal"/>
    <b v="1"/>
    <x v="0"/>
    <s v="Integración"/>
    <n v="0"/>
  </r>
  <r>
    <n v="5"/>
    <x v="2"/>
    <s v="Cascada"/>
    <n v="0"/>
    <s v="Integración"/>
    <s v="Bantotal"/>
    <s v="Ejecución OT Bantotal PI1"/>
    <s v="SC1331 - BT SCTarjetaDebito.ObtenerTarjetasDebitoPorCliente, devolver las tarjetas adicionales"/>
    <s v="Técnica"/>
    <s v="Medio"/>
    <d v="1899-12-30T00:00:00"/>
    <d v="1899-12-30T00:00:00"/>
    <d v="1899-12-30T00:00:00"/>
    <n v="0"/>
    <s v="Carol Carbajal"/>
    <b v="1"/>
    <x v="0"/>
    <s v="Integración"/>
    <n v="0"/>
  </r>
  <r>
    <n v="6"/>
    <x v="2"/>
    <s v="Cascada"/>
    <n v="0"/>
    <s v="Integración"/>
    <s v="Bantotal"/>
    <s v="Ejecución OT Bantotal PI1"/>
    <s v="SC1354 - Modificar estado de cuenta: mostrar movimientos anulados y marca de cual anulado y cual no"/>
    <s v="Técnica"/>
    <s v="Medio"/>
    <d v="2026-03-17T00:00:00"/>
    <d v="1899-12-30T00:00:00"/>
    <d v="2026-03-17T00:00:00"/>
    <n v="0"/>
    <s v="Carol Carbajal"/>
    <b v="1"/>
    <x v="0"/>
    <s v="Integración"/>
    <n v="0"/>
  </r>
  <r>
    <n v="7"/>
    <x v="2"/>
    <s v="Cascada"/>
    <n v="0"/>
    <s v="Integración"/>
    <s v="Bantotal"/>
    <s v="Ejecución OT Bantotal PI2"/>
    <s v="SC1354 - Modificar API BTDepositosAPlazo.ObtenerDatos"/>
    <s v="Técnica"/>
    <s v="Medio"/>
    <d v="2026-03-20T00:00:00"/>
    <d v="1899-12-30T00:00:00"/>
    <d v="2026-03-20T00:00:00"/>
    <n v="0"/>
    <s v="Carol Carbajal"/>
    <b v="1"/>
    <x v="0"/>
    <s v="Integración"/>
    <n v="0"/>
  </r>
  <r>
    <n v="8"/>
    <x v="2"/>
    <s v="Cascada"/>
    <n v="0"/>
    <s v="Integración"/>
    <s v="Bantotal"/>
    <s v="Ejecución OT Bantotal PI2"/>
    <s v="SC1354 - D1-078 Nueva API copia del servicio BTPrestamos.ObtenerDetalle, el 13/03 se entrega mockups"/>
    <s v="Técnica"/>
    <s v="Medio"/>
    <d v="2026-03-17T00:00:00"/>
    <d v="1899-12-30T00:00:00"/>
    <d v="2026-03-17T00:00:00"/>
    <n v="0"/>
    <s v="Carol Carbajal"/>
    <b v="1"/>
    <x v="0"/>
    <s v="Integración"/>
    <n v="0"/>
  </r>
  <r>
    <n v="9"/>
    <x v="2"/>
    <s v="Cascada"/>
    <n v="0"/>
    <s v="Integración"/>
    <s v="Bantotal"/>
    <s v="Ejecución OT Bantotal PI2"/>
    <s v="SC1354 - D1-169  Nueva API para devolver datos del producto, el 13/03 se entrega mockups"/>
    <s v="Técnica"/>
    <s v="Medio"/>
    <d v="2026-03-20T00:00:00"/>
    <d v="1899-12-30T00:00:00"/>
    <d v="2026-03-20T00:00:00"/>
    <n v="0"/>
    <s v="Carol Carbajal"/>
    <b v="1"/>
    <x v="0"/>
    <s v="Integración"/>
    <n v="0"/>
  </r>
  <r>
    <n v="10"/>
    <x v="2"/>
    <s v="Cascada"/>
    <n v="0"/>
    <s v="Integración"/>
    <s v="Bantotal"/>
    <s v="Ejecución OT Bantotal PI2"/>
    <s v="SC1354 - D1-081 Nueva API  copia del servicio BTPrestamos.ObtenerCronograma, el 13/03 se entrega mockups"/>
    <s v="Técnica"/>
    <s v="Medio"/>
    <d v="2026-03-26T00:00:00"/>
    <d v="1899-12-30T00:00:00"/>
    <d v="2026-03-26T00:00:00"/>
    <n v="0"/>
    <s v="Carol Carbajal"/>
    <b v="1"/>
    <x v="0"/>
    <s v="Integración"/>
    <n v="0"/>
  </r>
  <r>
    <n v="11"/>
    <x v="2"/>
    <s v="Cascada"/>
    <n v="0"/>
    <s v="Integración"/>
    <s v="Bantotal"/>
    <s v="Ejecución OT Bantotal PI2"/>
    <s v="SC1357 - Ajustes al servicio de  Puntos de contacto para agregarle campos"/>
    <s v="Técnica"/>
    <s v="Medio"/>
    <d v="2026-03-19T00:00:00"/>
    <d v="1899-12-30T00:00:00"/>
    <d v="2026-03-19T00:00:00"/>
    <n v="0"/>
    <s v="Carol Carbajal"/>
    <b v="1"/>
    <x v="0"/>
    <s v="Integración"/>
    <n v="0"/>
  </r>
  <r>
    <n v="12"/>
    <x v="2"/>
    <s v="Cascada"/>
    <n v="0"/>
    <s v="Integración"/>
    <s v="Canal Digital"/>
    <s v="Definición PI3 Canales Digitales"/>
    <s v="Se necesita el mapeo de funcionalidades con endpoints de APIs globales para canales digitales Onboarding"/>
    <s v="Funcional"/>
    <s v="Alta"/>
    <d v="2026-03-31T00:00:00"/>
    <d v="1899-12-30T00:00:00"/>
    <d v="2026-03-31T00:00:00"/>
    <n v="0"/>
    <s v="Henry"/>
    <b v="1"/>
    <x v="0"/>
    <s v="Integración"/>
    <n v="0"/>
  </r>
  <r>
    <n v="13"/>
    <x v="2"/>
    <s v="Cascada"/>
    <n v="0"/>
    <s v="Integración"/>
    <s v="Canal Digital"/>
    <s v="Definición PI3 Canales Digitales"/>
    <s v="Se necesita el mapeo de funcionalidades con endpoints de APIs globales para canales digitales Sin contracting"/>
    <s v="Funcional"/>
    <s v="Alta"/>
    <d v="2026-03-31T00:00:00"/>
    <d v="1899-12-30T00:00:00"/>
    <d v="2026-04-15T00:00:00"/>
    <n v="0"/>
    <s v="Henry"/>
    <b v="1"/>
    <x v="2"/>
    <s v="Integración"/>
    <n v="0"/>
  </r>
  <r>
    <n v="14"/>
    <x v="2"/>
    <s v="Cascada"/>
    <n v="0"/>
    <s v="Integración"/>
    <s v="Canal Digital"/>
    <s v="Definición PI3 Canales Digitales"/>
    <s v="Se necesita el mapeo de funcionalidades con endpoints de APIs globales para canales digitales Contracting"/>
    <s v="Funcional"/>
    <s v="Alta"/>
    <d v="2026-03-31T00:00:00"/>
    <d v="1899-12-30T00:00:00"/>
    <d v="2026-05-29T00:00:00"/>
    <n v="0"/>
    <s v="Henry"/>
    <b v="1"/>
    <x v="2"/>
    <s v="Integración"/>
    <n v="0"/>
  </r>
  <r>
    <n v="15"/>
    <x v="2"/>
    <s v="Cascada"/>
    <n v="0"/>
    <s v="Integración"/>
    <s v="Canal Asistido"/>
    <s v="Definición PI3 Canales Asistidos"/>
    <s v="Se necesita el mapeo de funcionalidades con endpoints de APIs globales para canales asistidos"/>
    <s v="Funcional"/>
    <s v="Alta"/>
    <d v="2026-03-31T00:00:00"/>
    <d v="1899-12-30T00:00:00"/>
    <d v="2026-04-15T00:00:00"/>
    <n v="0"/>
    <s v="Sonia"/>
    <b v="1"/>
    <x v="2"/>
    <s v="Integración"/>
    <n v="0"/>
  </r>
  <r>
    <n v="1"/>
    <x v="3"/>
    <s v="Mapa"/>
    <s v="M-5"/>
    <s v="Cards y Payments"/>
    <s v="Bancared"/>
    <s v="Interconexión con terceros"/>
    <s v="Interconexión con Izipay"/>
    <s v="Técnica"/>
    <s v="Alta"/>
    <d v="2026-04-30T00:00:00"/>
    <d v="1899-12-30T00:00:00"/>
    <s v="TBD"/>
    <n v="0"/>
    <s v="Hector Guerra"/>
    <b v="1"/>
    <x v="0"/>
    <s v="Cards"/>
    <n v="0"/>
  </r>
  <r>
    <n v="2"/>
    <x v="3"/>
    <s v="Mapa"/>
    <s v="M-5"/>
    <s v="Cards y Payments"/>
    <s v="Bancared"/>
    <s v="Interconexión con terceros"/>
    <s v="Interconexión con Kasnet"/>
    <s v="Técnica"/>
    <s v="Alta"/>
    <d v="2026-04-30T00:00:00"/>
    <d v="1899-12-30T00:00:00"/>
    <s v="TBD"/>
    <n v="0"/>
    <s v="Hector Guerra"/>
    <b v="1"/>
    <x v="0"/>
    <s v="Cards"/>
    <n v="0"/>
  </r>
  <r>
    <n v="3"/>
    <x v="3"/>
    <s v="Mapa"/>
    <s v="M-5"/>
    <s v="Cards y Payments"/>
    <s v="Bancared"/>
    <s v="Interconexión con terceros"/>
    <s v="Interconexión con Globalnet"/>
    <s v="Técnica"/>
    <s v="Alta"/>
    <d v="2026-05-07T00:00:00"/>
    <d v="1899-12-30T00:00:00"/>
    <s v="TBD"/>
    <n v="0"/>
    <s v="Hector Guerra"/>
    <b v="0"/>
    <x v="2"/>
    <s v="Cards"/>
    <n v="0"/>
  </r>
  <r>
    <n v="4"/>
    <x v="3"/>
    <s v="Mapa"/>
    <s v="M-5"/>
    <s v="Cards y Payments"/>
    <s v="Bancared"/>
    <s v="Interconexión con terceros"/>
    <s v="Interconexión con Unibanca"/>
    <s v="Técnica"/>
    <s v="Alta"/>
    <d v="2026-05-07T00:00:00"/>
    <d v="1899-12-30T00:00:00"/>
    <s v="TBD"/>
    <n v="0"/>
    <s v="Hector Guerra"/>
    <b v="0"/>
    <x v="2"/>
    <s v="Cards"/>
    <n v="0"/>
  </r>
  <r>
    <n v="5"/>
    <x v="3"/>
    <s v="Mapa"/>
    <n v="0"/>
    <s v="Cards y Payments"/>
    <s v="Globalnet"/>
    <s v="Homologación y Contrato con Globalnet"/>
    <s v="Iniciar coordinaciones para la implementación de las operaciones de TD y TC"/>
    <s v="Técnica"/>
    <s v="Alta"/>
    <d v="2026-02-28T00:00:00"/>
    <d v="1899-12-30T00:00:00"/>
    <s v="TBD"/>
    <n v="0"/>
    <s v="Administración"/>
    <b v="1"/>
    <x v="0"/>
    <s v="Cards"/>
    <n v="0"/>
  </r>
  <r>
    <n v="6"/>
    <x v="3"/>
    <s v="Mapa"/>
    <n v="0"/>
    <s v="Cards y Payments"/>
    <s v="Byte"/>
    <s v="Homologación y Contrato del proveedor para Sistema de Conciliación"/>
    <s v="Iniciar coordinaciones para la implementación del Sistema de Conciliación"/>
    <s v="Técnica"/>
    <s v="Alta"/>
    <d v="2026-03-31T00:00:00"/>
    <d v="1899-12-30T00:00:00"/>
    <s v="TBD"/>
    <n v="0"/>
    <s v="Administración"/>
    <b v="1"/>
    <x v="0"/>
    <s v="Cards"/>
    <n v="0"/>
  </r>
  <r>
    <n v="7"/>
    <x v="3"/>
    <s v="Mapa"/>
    <n v="0"/>
    <s v="Cards y Payments"/>
    <s v="Izipay"/>
    <s v="Requerimientos técnicos por parte de Izipay"/>
    <s v="Retraso en la implementación de las funcionalidades del Switch Transaccional para TD y TC"/>
    <s v="Técnica"/>
    <s v="Alta"/>
    <d v="2026-05-29T00:00:00"/>
    <d v="1899-12-30T00:00:00"/>
    <s v="TBD"/>
    <n v="0"/>
    <s v="Mia Lavandera"/>
    <b v="0"/>
    <x v="3"/>
    <s v="Cards"/>
    <n v="0"/>
  </r>
  <r>
    <n v="8"/>
    <x v="3"/>
    <s v="Mapa"/>
    <n v="0"/>
    <s v="Cards y Payments"/>
    <s v="Infra México"/>
    <s v="Entrega de la Infraestructura requerida para la implementación del Gateway Server y BD para MIG"/>
    <s v="Retraso en la implementación del MIG"/>
    <s v="Técnica"/>
    <s v="Alta"/>
    <d v="2026-04-30T00:00:00"/>
    <d v="1899-12-30T00:00:00"/>
    <s v="TBD"/>
    <n v="0"/>
    <s v="Leonel Popoca"/>
    <b v="1"/>
    <x v="3"/>
    <s v="Cards"/>
    <n v="0"/>
  </r>
  <r>
    <n v="9"/>
    <x v="3"/>
    <s v="Mapa"/>
    <n v="0"/>
    <s v="Cards y Payments"/>
    <s v="Operaciones de Tarjeta"/>
    <s v="Recopilación funcionalidades/operaciones del Negocio"/>
    <s v="Entrega de matriz de funcionalidades/operaciones de TC"/>
    <s v="Funcional"/>
    <s v="Alta"/>
    <d v="2026-03-18T00:00:00"/>
    <d v="1899-12-30T00:00:00"/>
    <d v="2026-03-18T00:00:00"/>
    <n v="0"/>
    <s v="Deysi Reyes"/>
    <b v="1"/>
    <x v="0"/>
    <s v="Cards"/>
    <n v="0"/>
  </r>
  <r>
    <n v="10"/>
    <x v="3"/>
    <s v="Mapa"/>
    <n v="0"/>
    <s v="Canales Asistidos"/>
    <s v="Contact Center"/>
    <s v="Recopilación funcionalidades/operaciones del Negocio"/>
    <s v="Entrega de matriz de funcionalidades/operaciones de TC"/>
    <s v="Funcional"/>
    <s v="Alta"/>
    <d v="2026-03-31T00:00:00"/>
    <d v="1899-12-30T00:00:00"/>
    <d v="2026-03-31T00:00:00"/>
    <n v="0"/>
    <s v="Diana Llanos"/>
    <b v="1"/>
    <x v="0"/>
    <s v="Cards"/>
    <n v="0"/>
  </r>
  <r>
    <n v="11"/>
    <x v="3"/>
    <s v="Mapa"/>
    <n v="0"/>
    <s v="Cards y Payments"/>
    <s v="Scotiabank"/>
    <s v="Intercambio de llaves con Scotiabank (CVK y PVK, etc)"/>
    <s v="Para ejecución de pruebas en ambiente de UAT"/>
    <s v="Técnica"/>
    <s v="Alta"/>
    <d v="2026-05-15T00:00:00"/>
    <d v="1899-12-30T00:00:00"/>
    <s v="TBD"/>
    <n v="0"/>
    <s v="César Villanueva"/>
    <b v="0"/>
    <x v="1"/>
    <s v="Cards"/>
    <n v="0"/>
  </r>
  <r>
    <n v="12"/>
    <x v="3"/>
    <s v="Mapa"/>
    <n v="0"/>
    <s v="Cards y Payments"/>
    <s v="Data"/>
    <s v="Entrega del offset de TD"/>
    <s v="Migración de TD activas actualmente"/>
    <s v="Data"/>
    <s v="Alta"/>
    <d v="2026-05-15T00:00:00"/>
    <d v="1899-12-30T00:00:00"/>
    <s v="TBD"/>
    <n v="0"/>
    <s v="Jean Paul Astonitas"/>
    <b v="0"/>
    <x v="2"/>
    <s v="Cards"/>
    <n v="0"/>
  </r>
  <r>
    <n v="13"/>
    <x v="3"/>
    <s v="Mapa"/>
    <n v="0"/>
    <s v="Cards y Payments"/>
    <s v="Data"/>
    <s v="Entrega del offset de TC"/>
    <s v="Migración de TC activas actualmente"/>
    <s v="Data"/>
    <s v="Alta"/>
    <d v="2026-05-15T00:00:00"/>
    <d v="1899-12-30T00:00:00"/>
    <s v="TBD"/>
    <n v="0"/>
    <s v="Jean Paul Astonitas"/>
    <b v="0"/>
    <x v="2"/>
    <s v="Cards"/>
    <n v="0"/>
  </r>
  <r>
    <n v="14"/>
    <x v="3"/>
    <s v="Mapa"/>
    <n v="0"/>
    <s v="Cards y Payments"/>
    <s v="Bancared"/>
    <s v="Interconexión con terceros"/>
    <s v="Interconexión con CCE, BCRP"/>
    <s v="Técnica"/>
    <s v="Alta"/>
    <d v="2026-04-30T00:00:00"/>
    <d v="1899-12-30T00:00:00"/>
    <s v="TBD"/>
    <n v="0"/>
    <s v="Hector Guerra"/>
    <b v="1"/>
    <x v="3"/>
    <s v="Payments"/>
    <n v="0"/>
  </r>
  <r>
    <n v="15"/>
    <x v="3"/>
    <s v="Mapa"/>
    <n v="0"/>
    <s v="Core"/>
    <s v="Synopsis"/>
    <s v="Configuración de APM con Servidores DESA"/>
    <s v="Permitirá la generación de reportería de TIN"/>
    <s v="Técnica"/>
    <s v="Medio"/>
    <d v="2026-04-30T00:00:00"/>
    <d v="1899-12-30T00:00:00"/>
    <s v="TBD"/>
    <n v="0"/>
    <s v="Leonel Popoca"/>
    <b v="1"/>
    <x v="3"/>
    <s v="Payments"/>
    <n v="0"/>
  </r>
  <r>
    <n v="16"/>
    <x v="3"/>
    <s v="Mapa"/>
    <n v="0"/>
    <s v="Cards y Payments"/>
    <s v="Infra México"/>
    <s v="Diseño de Infraestructura para EDITRAN"/>
    <s v="Para la configuración de EDITRAN (transferencias diferidas)"/>
    <s v="Infraestructura"/>
    <s v="Alta"/>
    <d v="2026-03-20T00:00:00"/>
    <d v="1899-12-30T00:00:00"/>
    <d v="2026-03-20T00:00:00"/>
    <n v="0"/>
    <s v="Leonel Popoca"/>
    <b v="1"/>
    <x v="0"/>
    <s v="Payments"/>
    <n v="0"/>
  </r>
  <r>
    <n v="17"/>
    <x v="3"/>
    <s v="Mapa"/>
    <n v="0"/>
    <s v="Cards y Payments"/>
    <s v="Arquitectura México"/>
    <s v="Diagrama de arquitectura para instalación de HSMs"/>
    <s v="Instalación de equipos HSMs"/>
    <s v="Arquitectura"/>
    <s v="Alta"/>
    <d v="2026-02-27T00:00:00"/>
    <d v="1899-12-30T00:00:00"/>
    <d v="2026-02-27T00:00:00"/>
    <n v="0"/>
    <s v="Leonel Popoca"/>
    <b v="1"/>
    <x v="0"/>
    <s v="Cards"/>
    <n v="0"/>
  </r>
  <r>
    <n v="18"/>
    <x v="3"/>
    <s v="Mapa"/>
    <n v="0"/>
    <s v="Cards y Payments"/>
    <s v="Infra México"/>
    <s v="Entrega del SFTP para Agregados de Pagos"/>
    <s v="Para reportería normativa a CCE y BCRP"/>
    <s v="Técnica"/>
    <s v="Alta"/>
    <d v="2026-04-24T00:00:00"/>
    <d v="1899-12-30T00:00:00"/>
    <s v="TBD"/>
    <n v="0"/>
    <s v="Leonel Popoca"/>
    <b v="1"/>
    <x v="3"/>
    <s v="Payments"/>
    <n v="0"/>
  </r>
  <r>
    <n v="19"/>
    <x v="3"/>
    <s v="Mapa"/>
    <n v="0"/>
    <s v="Cards y Payments"/>
    <s v="Infra México"/>
    <s v="Cifrado HSM para TIN"/>
    <s v="Cifrado de datos y firma digital para transferencias de alto y bajo valor"/>
    <s v="Técnica"/>
    <s v="Alta"/>
    <d v="2026-04-30T00:00:00"/>
    <d v="1899-12-30T00:00:00"/>
    <d v="2026-04-30T00:00:00"/>
    <n v="0"/>
    <s v="Leonel Popoca"/>
    <b v="1"/>
    <x v="1"/>
    <s v="Payments"/>
    <n v="0"/>
  </r>
  <r>
    <n v="20"/>
    <x v="3"/>
    <s v="Mapa"/>
    <n v="0"/>
    <s v="Cards y Payments"/>
    <s v="BB Integración"/>
    <s v="Conexión con BB Integración y BB Canales Digitales"/>
    <s v="Prueba de comunicación de APIs"/>
    <s v="Técnica"/>
    <s v="Alta"/>
    <d v="2026-04-30T00:00:00"/>
    <d v="1899-12-30T00:00:00"/>
    <s v="TBD"/>
    <n v="0"/>
    <s v="Jorge Paez"/>
    <b v="1"/>
    <x v="2"/>
    <s v="Payments"/>
    <n v="0"/>
  </r>
  <r>
    <n v="21"/>
    <x v="3"/>
    <s v="Mapa"/>
    <n v="0"/>
    <s v="Cards y Payments"/>
    <s v="Infra México"/>
    <s v="Instalación de aplicaciones y DB en servidores CCE + LBTR + EDITRAN"/>
    <s v="Instalación de de las aplicaciones de las aplicaicones para la generacion de TIN"/>
    <s v="Técnica"/>
    <s v="Alta"/>
    <d v="2026-04-30T00:00:00"/>
    <d v="1899-12-30T00:00:00"/>
    <d v="2026-04-30T00:00:00"/>
    <n v="0"/>
    <s v="Hector Guerra"/>
    <b v="1"/>
    <x v="3"/>
    <s v="Payments"/>
    <n v="0"/>
  </r>
  <r>
    <n v="22"/>
    <x v="3"/>
    <s v="Mapa"/>
    <n v="0"/>
    <s v="Cards y Payments"/>
    <s v="Infra México"/>
    <s v="Conexión de Agregador TIN con SMTP "/>
    <n v="0"/>
    <s v="Técnica"/>
    <s v="Alta"/>
    <d v="2026-04-30T00:00:00"/>
    <d v="1899-12-30T00:00:00"/>
    <s v="TBD"/>
    <n v="0"/>
    <s v="Hector Guerra"/>
    <b v="1"/>
    <x v="1"/>
    <s v="Payments"/>
    <n v="0"/>
  </r>
  <r>
    <n v="23"/>
    <x v="3"/>
    <s v="Mapa"/>
    <n v="0"/>
    <s v="Cards y Payments"/>
    <s v="Infra México"/>
    <s v="Configuración SFTP para Agregados de Pagos"/>
    <s v="Para envio de reportería normativa a BCRP y CCE"/>
    <s v="Técnica"/>
    <s v="Alta"/>
    <d v="2026-05-29T00:00:00"/>
    <d v="1899-12-30T00:00:00"/>
    <s v="TBD"/>
    <n v="0"/>
    <s v="Leonel Popoca"/>
    <b v="0"/>
    <x v="1"/>
    <s v="Payments"/>
    <n v="0"/>
  </r>
  <r>
    <n v="24"/>
    <x v="3"/>
    <s v="Mapa"/>
    <n v="0"/>
    <s v="Cards y Payments"/>
    <s v="Unibanca"/>
    <s v="Implementación de la ruta de emisión de TD (Unibanca)"/>
    <s v="Ruta de emisión de TD (Unibanca)"/>
    <s v="Técnica"/>
    <s v="Alta"/>
    <d v="2026-05-29T00:00:00"/>
    <d v="1899-12-30T00:00:00"/>
    <s v="TBD"/>
    <n v="0"/>
    <s v="Geraldine Córdova"/>
    <b v="0"/>
    <x v="1"/>
    <s v="Payments"/>
    <n v="0"/>
  </r>
  <r>
    <n v="25"/>
    <x v="3"/>
    <s v="Mapa"/>
    <n v="0"/>
    <s v="Cards y Payments"/>
    <s v="Unibanca"/>
    <s v="Intercambio de llaves + Cifrado de archivos (Unibanca)"/>
    <s v="Archivos (Unibanca)"/>
    <s v="Técnica"/>
    <s v="Alta"/>
    <d v="2026-05-29T00:00:00"/>
    <d v="1899-12-30T00:00:00"/>
    <s v="TBD"/>
    <n v="0"/>
    <s v="Geraldine Córdova"/>
    <b v="0"/>
    <x v="1"/>
    <s v="Payments"/>
    <n v="0"/>
  </r>
  <r>
    <n v="1"/>
    <x v="4"/>
    <s v="Plan de tranferencia"/>
    <n v="0"/>
    <s v="Migración de datos"/>
    <s v="Core"/>
    <s v="Definición de archivos Core históricos  a migrar "/>
    <s v="Se requiere confirmar: _x000a_1) Desde que año se transferirá la información. _x000a_2) Para cada uno de los años, si se transferirán archivos en formato mensual o anual_x000a_3) Si para el pase a producción, se debe de haber transferido algunos periodos de información, por temas regulatorios."/>
    <s v="Técnica"/>
    <s v="Medio"/>
    <d v="2026-03-20T00:00:00"/>
    <d v="1899-12-30T00:00:00"/>
    <d v="1899-12-30T00:00:00"/>
    <n v="0"/>
    <s v="Julio P."/>
    <b v="1"/>
    <x v="0"/>
    <s v="Migración"/>
    <n v="0"/>
  </r>
  <r>
    <n v="2"/>
    <x v="4"/>
    <s v="Plan de tranferencia"/>
    <n v="0"/>
    <s v="Migración de datos"/>
    <s v="Core"/>
    <s v="Definición de canal de transferencia de archivos Core históricos "/>
    <s v="Se requiere confirmar si la transferencia se realizará a través del canal de transferencia definido para datos (Sterling), o por otro canal."/>
    <s v="Técnica"/>
    <s v="Medio"/>
    <d v="2026-04-30T00:00:00"/>
    <d v="1899-12-30T00:00:00"/>
    <d v="2026-02-23T00:00:00"/>
    <s v="Julio P."/>
    <s v="Julio P."/>
    <b v="1"/>
    <x v="3"/>
    <s v="Migración"/>
    <n v="0"/>
  </r>
  <r>
    <n v="3"/>
    <x v="4"/>
    <s v="Req datos"/>
    <n v="0"/>
    <s v="Migración de datos"/>
    <s v="Cards y Payments"/>
    <s v="Identificación de requerimientos de datos BanTotal - Cards"/>
    <s v="Se requiere identificar la data necesaria para la operación de las aplicaciones en desarrollo, para el caso de tablas Bantotal u otras."/>
    <s v="Técnica"/>
    <s v="Medio"/>
    <d v="2026-03-31T00:00:00"/>
    <d v="2026-04-17T00:00:00"/>
    <d v="2026-04-17T00:00:00"/>
    <n v="0"/>
    <s v="Fredy C."/>
    <b v="1"/>
    <x v="3"/>
    <s v="Migración"/>
    <n v="0"/>
  </r>
  <r>
    <n v="4"/>
    <x v="4"/>
    <s v="Diagrama"/>
    <n v="0"/>
    <s v="Migración de datos"/>
    <s v="Canales Digitales"/>
    <s v="Diagrama de Migración - Canales Digitales"/>
    <s v="Se requiere contar con el diagrama que incluye el flujo de datos para la migración hacia las aplicaciones, indicando los componentes que intervienen en la migración."/>
    <s v="Técnica"/>
    <s v="Medio"/>
    <d v="2026-10-04T00:00:00"/>
    <d v="1899-12-30T00:00:00"/>
    <d v="1899-12-30T00:00:00"/>
    <n v="0"/>
    <s v="Henry J."/>
    <b v="0"/>
    <x v="3"/>
    <s v="Migración"/>
    <n v="0"/>
  </r>
  <r>
    <n v="5"/>
    <x v="4"/>
    <s v="Plan de tranferencia"/>
    <n v="0"/>
    <s v="Migración de datos"/>
    <s v="Canales Digitales"/>
    <s v="Definición de estrategia de migración de datos - Canales Digitales"/>
    <s v="Se requiere establecer la estrategia de migración de datos para las aplicaciones."/>
    <s v="Técnica"/>
    <s v="Medio"/>
    <d v="2026-10-04T00:00:00"/>
    <d v="1899-12-30T00:00:00"/>
    <d v="1899-12-30T00:00:00"/>
    <n v="0"/>
    <s v="Henry J."/>
    <b v="0"/>
    <x v="0"/>
    <s v="Migración"/>
    <n v="0"/>
  </r>
  <r>
    <n v="6"/>
    <x v="4"/>
    <s v="Req datos"/>
    <n v="0"/>
    <s v="Migración de datos"/>
    <s v="Cyber &amp; Fraud"/>
    <s v="Identificación de requerimientos de datos BanTotal - Cyber &amp; Fraud"/>
    <s v="Se requiere identificar la data necesaria para la operación de las aplicaciones, para el caso de tablas Bantotal u otras."/>
    <s v="Técnica"/>
    <s v="Medio"/>
    <d v="2026-03-31T00:00:00"/>
    <d v="1899-12-30T00:00:00"/>
    <d v="1899-12-30T00:00:00"/>
    <n v="0"/>
    <s v="Cesar V."/>
    <b v="1"/>
    <x v="0"/>
    <s v="Migración"/>
    <n v="0"/>
  </r>
  <r>
    <n v="7"/>
    <x v="4"/>
    <s v="Req datos"/>
    <n v="0"/>
    <s v="Migración de datos"/>
    <s v="Canales Asistidos"/>
    <s v="Identificación de requerimientos de datos BanTotal - Cyberfinancial"/>
    <s v="Se requiere identificar la data necesaria para la operación de las aplicaciones en desarrollo, en caso de requerirse tablas Bantotal u otras._x000a_Confirmar las tablas que necesitarán."/>
    <s v="Técnica"/>
    <s v="Medio"/>
    <d v="2026-03-31T00:00:00"/>
    <d v="1899-12-30T00:00:00"/>
    <d v="1899-12-30T00:00:00"/>
    <n v="0"/>
    <s v="Sonia B."/>
    <b v="1"/>
    <x v="0"/>
    <s v="Migración"/>
    <n v="0"/>
  </r>
  <r>
    <n v="8"/>
    <x v="4"/>
    <s v="Plan de tranferencia"/>
    <n v="0"/>
    <s v="Migración de datos"/>
    <s v="Datos"/>
    <s v="Confirmación de BD analíticas y file servers de usuarios - Inteligencia Comercial"/>
    <s v="Se requiere validar el listado general de bases de datos y file servers que está en el compartido"/>
    <s v="Técnica"/>
    <s v="Medio"/>
    <d v="2026-04-15T00:00:00"/>
    <d v="1899-12-30T00:00:00"/>
    <d v="1899-12-30T00:00:00"/>
    <n v="0"/>
    <s v="Jean A."/>
    <b v="1"/>
    <x v="3"/>
    <s v="Migración"/>
    <n v="0"/>
  </r>
  <r>
    <n v="9"/>
    <x v="4"/>
    <s v="Plan de tranferencia"/>
    <n v="0"/>
    <s v="Migración de datos"/>
    <s v="Datos"/>
    <s v="Confirmación de BD analíticas y file servers de usuarios - Riesgos y otros"/>
    <s v="Se requiere validar el listado general de bases de datos y file servers que está en el compartido"/>
    <s v="Técnica"/>
    <s v="Medio"/>
    <d v="2026-04-15T00:00:00"/>
    <d v="1899-12-30T00:00:00"/>
    <d v="1899-12-30T00:00:00"/>
    <n v="0"/>
    <s v="Jean A."/>
    <b v="1"/>
    <x v="3"/>
    <s v="Migración"/>
    <n v="0"/>
  </r>
  <r>
    <n v="10"/>
    <x v="4"/>
    <s v="Plan de tranferencia"/>
    <n v="0"/>
    <s v="Migración de datos"/>
    <s v="Datos"/>
    <s v="Confirmación de BD analíticas y file servers de usuarios - Finanzas"/>
    <s v="Se requiere validar el listado general de bases de datos y file servers que está en el compartido"/>
    <s v="Técnica"/>
    <s v="Medio"/>
    <d v="2026-04-15T00:00:00"/>
    <d v="1899-12-30T00:00:00"/>
    <d v="1899-12-30T00:00:00"/>
    <n v="0"/>
    <s v="Jean A."/>
    <b v="1"/>
    <x v="3"/>
    <s v="Migración"/>
    <n v="0"/>
  </r>
  <r>
    <n v="11"/>
    <x v="4"/>
    <s v="Req datos"/>
    <n v="0"/>
    <s v="Migración de datos"/>
    <s v="Aplicaciones de Soporte"/>
    <s v="Identificación de requerimientos de datos Bantotal - Aplicaciones de Soporte"/>
    <s v="Se requiere identificar la data necesaria para la operación de las aplicaciones en desarrollo, en caso de requerirse tablas Bantotal u otras."/>
    <s v="Técnica"/>
    <s v="Medio"/>
    <d v="2026-03-31T00:00:00"/>
    <d v="1899-12-30T00:00:00"/>
    <d v="1899-12-30T00:00:00"/>
    <n v="0"/>
    <s v="Jaime H."/>
    <b v="1"/>
    <x v="0"/>
    <s v="Migración"/>
    <n v="0"/>
  </r>
  <r>
    <n v="12"/>
    <x v="4"/>
    <s v="Plan de tranferencia"/>
    <n v="0"/>
    <s v="Migración de datos"/>
    <s v="Core"/>
    <s v="Definición de estrategia de migración de datos Online- Core"/>
    <s v="Se requiere establecer la estrategia de migración de los archivos txt Online en estructura de paquetes:_x000a_1. Paquete 1 contiene las tablas : ..._x000a_2. Se considera en los paquetes tabals que otras aplicaciones van a rerquerir? seguros, cards, aml, cyber, etc."/>
    <s v="Técnica"/>
    <s v="Medio"/>
    <d v="2026-02-28T00:00:00"/>
    <d v="1899-12-30T00:00:00"/>
    <d v="1899-12-30T00:00:00"/>
    <n v="0"/>
    <s v="Julio P."/>
    <b v="1"/>
    <x v="0"/>
    <s v="Migración"/>
    <n v="0"/>
  </r>
  <r>
    <n v="13"/>
    <x v="4"/>
    <s v="Req datos"/>
    <n v="0"/>
    <s v="Migración de datos"/>
    <s v="Core"/>
    <s v="Revisión de tablas principales y campos sumatorios para validación"/>
    <s v="Validar el listado de tablas principales para las aplicaciones AS400, así como proponer los campos sumatorios para validación."/>
    <s v="Técnica"/>
    <s v="Medio"/>
    <d v="2026-03-31T00:00:00"/>
    <d v="1899-12-30T00:00:00"/>
    <d v="1899-12-30T00:00:00"/>
    <n v="0"/>
    <s v="Julio P."/>
    <b v="1"/>
    <x v="0"/>
    <s v="Migración"/>
    <n v="0"/>
  </r>
  <r>
    <n v="14"/>
    <x v="4"/>
    <s v="Diagrama"/>
    <n v="0"/>
    <s v="Migración de datos"/>
    <s v="Core"/>
    <s v="Diagrama de Migración - Core"/>
    <s v="Se requiere elaborar el diagrama de migración, indicando el flujo de la data, para el caso Online e histórico."/>
    <s v="Técnica"/>
    <s v="Medio"/>
    <d v="2026-03-20T00:00:00"/>
    <d v="1899-12-30T00:00:00"/>
    <d v="1899-12-30T00:00:00"/>
    <n v="0"/>
    <s v="Julio P."/>
    <b v="1"/>
    <x v="0"/>
    <s v="Migración"/>
    <n v="0"/>
  </r>
  <r>
    <n v="15"/>
    <x v="4"/>
    <s v="Diagrama"/>
    <n v="0"/>
    <s v="Migración de datos"/>
    <s v="Canales Asistidos"/>
    <s v="Diagrama de Migración - Canales Asistidos"/>
    <s v="Se requiere actualizar el diagrama que incluye el flujo de datos para la migración hacia las aplicaciones, indicando los servidores al que se transferirá la data. Mesa de Concesiones"/>
    <s v="Técnica"/>
    <s v="Medio"/>
    <d v="2026-03-31T00:00:00"/>
    <d v="1899-12-30T00:00:00"/>
    <d v="2026-04-17T00:00:00"/>
    <n v="0"/>
    <s v="Sonia B."/>
    <b v="1"/>
    <x v="3"/>
    <s v="Migración"/>
    <n v="0"/>
  </r>
  <r>
    <n v="16"/>
    <x v="4"/>
    <s v="Plan de tranferencia"/>
    <n v="0"/>
    <s v="Migración de datos"/>
    <s v="Canales Asistidos"/>
    <s v="Estrategia de migración de datos - Cyberfinancial"/>
    <s v="Se requiere establecer la estrategia de migración de datos para las aplicaciones."/>
    <s v="Técnica"/>
    <s v="Medio"/>
    <d v="2026-04-10T00:00:00"/>
    <d v="1899-12-30T00:00:00"/>
    <d v="1899-12-30T00:00:00"/>
    <n v="0"/>
    <s v="Sonia B."/>
    <b v="1"/>
    <x v="0"/>
    <s v="Migración"/>
    <n v="0"/>
  </r>
  <r>
    <n v="17"/>
    <x v="4"/>
    <s v="Diagrama"/>
    <n v="0"/>
    <s v="Migración de datos"/>
    <s v="Procesos"/>
    <s v="Diagrama de Migración - Procesos"/>
    <s v="Se requiere actualizar el diagrama que incluye el flujo de datos para la migración hacia las aplicaciones, indicando los servidores al que se transferirá la data."/>
    <s v="Técnica"/>
    <s v="Medio"/>
    <d v="2026-02-28T00:00:00"/>
    <d v="1899-12-30T00:00:00"/>
    <d v="2026-09-02T00:00:00"/>
    <n v="0"/>
    <s v="Sonia B."/>
    <b v="1"/>
    <x v="0"/>
    <s v="Migración"/>
    <n v="0"/>
  </r>
  <r>
    <n v="18"/>
    <x v="4"/>
    <s v="Plan de tranferencia"/>
    <n v="0"/>
    <s v="Migración de datos"/>
    <s v="Procesos"/>
    <s v="Definición de estrategia de migración de datos - Procesos"/>
    <s v="Se requiere establecer la estrategia de migración de datos para las aplicaciones."/>
    <s v="Técnica"/>
    <s v="Medio"/>
    <d v="2026-03-20T00:00:00"/>
    <d v="1899-12-30T00:00:00"/>
    <d v="1899-12-30T00:00:00"/>
    <n v="0"/>
    <s v="Sonia B."/>
    <b v="1"/>
    <x v="0"/>
    <s v="Migración"/>
    <n v="0"/>
  </r>
  <r>
    <n v="19"/>
    <x v="4"/>
    <s v="Diagrama"/>
    <n v="0"/>
    <s v="Migración de datos"/>
    <s v="Cards y Payments"/>
    <s v="Diagrama de Migración - Cards"/>
    <s v="Se requiere establecer la estrategia de migración de datos para las aplicaciones."/>
    <s v="Técnica"/>
    <s v="Medio"/>
    <d v="2026-03-31T00:00:00"/>
    <d v="1899-12-30T00:00:00"/>
    <d v="2026-04-17T00:00:00"/>
    <n v="0"/>
    <s v="Fredy C."/>
    <b v="1"/>
    <x v="3"/>
    <s v="Migración"/>
    <n v="0"/>
  </r>
  <r>
    <n v="20"/>
    <x v="4"/>
    <s v="Plan de tranferencia"/>
    <n v="0"/>
    <s v="Migración de datos"/>
    <s v="Procesos"/>
    <s v="Definición de estrategia de migración de archivos OnDemand"/>
    <s v="Se requiere establecer la estrategia de migración para los archivos."/>
    <s v="Técnica"/>
    <s v="Medio"/>
    <d v="2026-03-20T00:00:00"/>
    <d v="2026-04-30T00:00:00"/>
    <d v="2026-04-30T00:00:00"/>
    <n v="0"/>
    <s v="Sonia B."/>
    <b v="1"/>
    <x v="0"/>
    <s v="Migración"/>
    <n v="0"/>
  </r>
  <r>
    <n v="21"/>
    <x v="4"/>
    <s v="Diagrama"/>
    <n v="0"/>
    <s v="Migración de datos"/>
    <s v="Aplicaciones de Soporte"/>
    <s v="Diagrama de Migración - Aplicaciones de soporte"/>
    <s v="Se requiere contar con el diagrama que incluye el flujo de datos para la migración hacia las aplicaciones, indicando los servidores al que se transferirá la data."/>
    <s v="Técnica"/>
    <s v="Medio"/>
    <d v="2026-03-31T00:00:00"/>
    <d v="1899-12-30T00:00:00"/>
    <d v="2026-04-30T00:00:00"/>
    <n v="0"/>
    <s v="Jaime H."/>
    <b v="1"/>
    <x v="0"/>
    <s v="Migración"/>
    <n v="0"/>
  </r>
  <r>
    <n v="22"/>
    <x v="4"/>
    <s v="Plan de tranferencia"/>
    <n v="0"/>
    <s v="Migración de datos"/>
    <s v="Aplicaciones de Soporte"/>
    <s v="Definición de estrategia de migración de datos - Aplicaciones de soporte"/>
    <s v="Se requiere establecer la estrategia de migración de datos para las aplicaciones."/>
    <s v="Técnica"/>
    <s v="Medio"/>
    <d v="2026-03-31T00:00:00"/>
    <d v="1899-12-30T00:00:00"/>
    <d v="1899-12-30T00:00:00"/>
    <n v="0"/>
    <s v="Jaime H."/>
    <b v="1"/>
    <x v="0"/>
    <s v="Migración"/>
    <n v="0"/>
  </r>
  <r>
    <n v="23"/>
    <x v="4"/>
    <s v="Req datos"/>
    <n v="0"/>
    <s v="Migración de datos"/>
    <s v="Core"/>
    <s v="Identificación de requerimientos de datos BanTotal - SSM (Seguros)"/>
    <s v="Se requiere identificar la data necesaria para la operación de las aplicaciones en desarrollo, en caso de requerirse tablas Bantotal u otras._x000a_Solicitado a Luis Huaman por correo."/>
    <s v="Técnica"/>
    <s v="Medio"/>
    <d v="2026-04-30T00:00:00"/>
    <d v="1899-12-30T00:00:00"/>
    <d v="1899-12-30T00:00:00"/>
    <n v="0"/>
    <s v="Julio P."/>
    <b v="1"/>
    <x v="0"/>
    <s v="Migración"/>
    <n v="0"/>
  </r>
  <r>
    <n v="24"/>
    <x v="4"/>
    <s v="Diagrama"/>
    <n v="0"/>
    <s v="Migración de datos"/>
    <s v="Core"/>
    <s v="Diagrama de Migración -  SSM (Seguros)"/>
    <s v="Se requiere contar con el diagrama que incluye el flujo de datos para la migración hacia las aplicaciones, indicando los servidores al que se transferirá la data."/>
    <s v="Técnica"/>
    <s v="Medio"/>
    <d v="2026-04-30T00:00:00"/>
    <d v="1899-12-30T00:00:00"/>
    <d v="2026-04-30T00:00:00"/>
    <n v="0"/>
    <s v="Julio P."/>
    <b v="1"/>
    <x v="3"/>
    <s v="Migración"/>
    <n v="0"/>
  </r>
  <r>
    <n v="25"/>
    <x v="4"/>
    <s v="Plan de tranferencia"/>
    <n v="0"/>
    <s v="Migración de datos"/>
    <s v="Core"/>
    <s v="Definición de estrategia de migración de datos -  SSM (Seguros)"/>
    <s v="Se requiere establecer la estrategia de migración de datos para las aplicaciones."/>
    <s v="Técnica"/>
    <s v="Medio"/>
    <d v="2026-03-31T00:00:00"/>
    <d v="1899-12-30T00:00:00"/>
    <d v="1899-12-30T00:00:00"/>
    <n v="0"/>
    <s v="Julio P."/>
    <b v="1"/>
    <x v="0"/>
    <s v="Migración"/>
    <n v="0"/>
  </r>
  <r>
    <n v="26"/>
    <x v="4"/>
    <s v="Req datos"/>
    <n v="0"/>
    <s v="Migración de datos"/>
    <s v="Datos"/>
    <s v="Identificación de tablas prioritarias - Inteligencia Comercial"/>
    <s v="Se requiere llenar el formato incluyendo las tablas que forman parte del proceso"/>
    <s v="Técnica"/>
    <s v="Medio"/>
    <d v="2026-04-15T00:00:00"/>
    <d v="2026-04-30T00:00:00"/>
    <d v="1899-12-30T00:00:00"/>
    <n v="0"/>
    <s v="Jean A."/>
    <b v="1"/>
    <x v="3"/>
    <s v="Migración"/>
    <n v="0"/>
  </r>
  <r>
    <n v="27"/>
    <x v="4"/>
    <s v="Req datos"/>
    <n v="0"/>
    <s v="Migración de datos"/>
    <s v="Canales Digitales"/>
    <s v="Identificación de requerimientos de datos BanTotal - Canales Digitales"/>
    <s v="Se requiere identificar la data necesaria para la operación de las aplicaciones en desarrollo, en caso de requerirse tablas Bantotal u otras._x000a_Soliciatado a Arnold por correo"/>
    <s v="Técnica"/>
    <s v="Medio"/>
    <d v="2026-10-04T00:00:00"/>
    <d v="1899-12-30T00:00:00"/>
    <d v="1899-12-30T00:00:00"/>
    <n v="0"/>
    <s v="Henry J."/>
    <b v="0"/>
    <x v="0"/>
    <s v="Migración"/>
    <n v="0"/>
  </r>
  <r>
    <n v="28"/>
    <x v="4"/>
    <s v="Diagrama"/>
    <n v="0"/>
    <s v="Migración de datos"/>
    <s v="Cyber &amp; Fraud"/>
    <s v="Diagrama de Migración  - Cyber &amp; Fraud"/>
    <s v="Se requiere identificar si como parte de la data necesaria para la operación de las aplicaciones, se requieren tablas Bantotal u otras desde el SBP."/>
    <s v="Técnica"/>
    <s v="Medio"/>
    <d v="2026-04-30T00:00:00"/>
    <d v="1899-12-30T00:00:00"/>
    <d v="2026-04-30T00:00:00"/>
    <n v="0"/>
    <s v="Cesar V."/>
    <b v="1"/>
    <x v="3"/>
    <s v="Migración"/>
    <n v="0"/>
  </r>
  <r>
    <n v="29"/>
    <x v="4"/>
    <s v="Req datos"/>
    <n v="0"/>
    <s v="Migración de datos"/>
    <s v="Datos"/>
    <s v="Identificación de tablas prioritarias - Riesgos"/>
    <s v="Se requiere llenar el formato incluyendo las tablas que forman parte del proceso"/>
    <s v="Técnica"/>
    <s v="Medio"/>
    <d v="2026-04-15T00:00:00"/>
    <d v="2026-04-30T00:00:00"/>
    <d v="1899-12-30T00:00:00"/>
    <n v="0"/>
    <s v="Jean A."/>
    <b v="1"/>
    <x v="3"/>
    <s v="Migración"/>
    <n v="0"/>
  </r>
  <r>
    <n v="30"/>
    <x v="4"/>
    <s v="Req datos"/>
    <n v="0"/>
    <s v="Migración de datos"/>
    <s v="Datos"/>
    <s v="Identificación de tablas prioritarias - Finanzas"/>
    <s v="Se requiere llenar el formato incluyendo las tablas que forman parte del proceso"/>
    <s v="Técnica"/>
    <s v="Medio"/>
    <d v="2026-04-15T00:00:00"/>
    <d v="2026-04-30T00:00:00"/>
    <d v="1899-12-30T00:00:00"/>
    <n v="0"/>
    <s v="Jean A."/>
    <b v="1"/>
    <x v="3"/>
    <s v="Migración"/>
    <n v="0"/>
  </r>
  <r>
    <n v="31"/>
    <x v="4"/>
    <s v="Plan de tranferencia"/>
    <n v="0"/>
    <s v="Migración de datos"/>
    <s v="Cards y Payments"/>
    <s v="Definición de estrategia de migración de datos - Reportes de interoperabilidad históricos"/>
    <s v="Se requiere establecer la estrategia de migración de los archivos históricos."/>
    <s v="Técnica"/>
    <s v="Medio"/>
    <d v="2026-03-31T00:00:00"/>
    <d v="1899-12-30T00:00:00"/>
    <d v="1899-12-30T00:00:00"/>
    <n v="0"/>
    <s v="Fredy C."/>
    <b v="1"/>
    <x v="0"/>
    <s v="Migración"/>
    <n v="0"/>
  </r>
  <r>
    <n v="32"/>
    <x v="4"/>
    <s v="Plan de tranferencia"/>
    <n v="0"/>
    <s v="Migración de datos"/>
    <s v="Canales Asistidos"/>
    <s v="Estrategia de Migración - Archivos de audio IVR"/>
    <s v="Se requiere establecer la estrategia de migración de los archivos históricos."/>
    <s v="Técnica"/>
    <s v="Medio"/>
    <d v="2026-03-31T00:00:00"/>
    <d v="1899-12-30T00:00:00"/>
    <d v="1899-12-30T00:00:00"/>
    <n v="0"/>
    <s v="Sonia B."/>
    <b v="1"/>
    <x v="0"/>
    <s v="Migración"/>
    <n v="0"/>
  </r>
  <r>
    <n v="33"/>
    <x v="4"/>
    <s v="Req datos"/>
    <n v="0"/>
    <s v="Migración de datos"/>
    <s v="Procesos"/>
    <s v="Identificación de requerimientos de datos BanTotal - Procesos"/>
    <s v="Se requiere identificar la data necesaria para la operación de las aplicaciones en desarrollo, en caso de requerirse tablas Bantotal u otras."/>
    <s v="Técnica"/>
    <s v="Medio"/>
    <d v="2026-04-30T00:00:00"/>
    <d v="1899-12-30T00:00:00"/>
    <d v="1899-12-30T00:00:00"/>
    <n v="0"/>
    <s v="Sonia B."/>
    <b v="1"/>
    <x v="0"/>
    <s v="Migración"/>
    <n v="0"/>
  </r>
  <r>
    <n v="1"/>
    <x v="5"/>
    <s v="Mapa"/>
    <s v="M-X"/>
    <s v="Soporte / Modellica (Admisión Crediticia)"/>
    <s v="Riesgos TI"/>
    <s v="Servicio de consulta en línea con Experian y Equifax"/>
    <s v="Contratar el servicio de consulta en línea de Experian y Equifax"/>
    <s v="Técnica"/>
    <s v="Alta"/>
    <d v="2026-03-20T00:00:00"/>
    <d v="1899-12-30T00:00:00"/>
    <s v="TBD"/>
    <n v="0"/>
    <s v="Darwin C."/>
    <b v="1"/>
    <x v="2"/>
    <s v="Soporte"/>
    <n v="0"/>
  </r>
  <r>
    <n v="2"/>
    <x v="5"/>
    <s v="Mapa"/>
    <s v="M-X"/>
    <s v="Soporte / KYC - Score AML Batch"/>
    <s v="Proveedor Monitor"/>
    <s v="Proceso Batch"/>
    <s v="Generacion de Archivo SCORE AML mensual"/>
    <s v="Técnica"/>
    <s v="Alta"/>
    <d v="2026-03-23T00:00:00"/>
    <d v="1899-12-30T00:00:00"/>
    <s v="TBD"/>
    <n v="0"/>
    <s v="Enrique Lopez"/>
    <b v="1"/>
    <x v="2"/>
    <s v="Soporte"/>
    <n v="0"/>
  </r>
  <r>
    <n v="3"/>
    <x v="5"/>
    <s v="Mapa"/>
    <s v="MF-JH-0005"/>
    <s v="Soporte / Spring ERP"/>
    <s v="Core"/>
    <s v="Definición de interfaces"/>
    <s v="Definir las interfaces para asientos contables en BT"/>
    <s v="Técnica"/>
    <s v="Alta"/>
    <d v="2026-05-15T00:00:00"/>
    <d v="1899-12-30T00:00:00"/>
    <d v="2026-05-15T00:00:00"/>
    <n v="0"/>
    <s v="Julio P."/>
    <b v="0"/>
    <x v="1"/>
    <s v="Soporte"/>
    <n v="0"/>
  </r>
  <r>
    <n v="4"/>
    <x v="5"/>
    <s v="Mapa"/>
    <s v="MF-JH-0028"/>
    <s v="Soporte / Spring ERP / Gestión de Logistica / Logistica de Proveedores"/>
    <s v="Comunication Manager"/>
    <s v="Habilitación de interfaz de correos"/>
    <s v="Habilitar el envio de correos internos y/o externos"/>
    <s v="Técnica"/>
    <s v="Alta"/>
    <d v="2026-05-15T00:00:00"/>
    <d v="1899-12-30T00:00:00"/>
    <s v="TBD"/>
    <n v="0"/>
    <s v="Willy V"/>
    <b v="0"/>
    <x v="1"/>
    <s v="Soporte"/>
    <n v="0"/>
  </r>
  <r>
    <n v="5"/>
    <x v="5"/>
    <s v="Mapa"/>
    <s v="MF-JH-0029"/>
    <s v="Soporte / Spring ERP / Gestión de Logistica / Logistica de Economato"/>
    <s v="Comunication Manager"/>
    <s v="Habilitación de interfaz de correos"/>
    <s v="Habilitar el envio de correos internos y/o externos"/>
    <s v="Técnica"/>
    <s v="Alta"/>
    <d v="2026-05-15T00:00:00"/>
    <d v="1899-12-30T00:00:00"/>
    <s v="TBD"/>
    <n v="0"/>
    <s v="Willy V"/>
    <b v="0"/>
    <x v="1"/>
    <s v="Soporte"/>
    <n v="0"/>
  </r>
  <r>
    <n v="6"/>
    <x v="5"/>
    <s v="Mapa"/>
    <s v="MF-JH-0030"/>
    <s v="Soporte / Spring ERP / Gestión de Logistica / Mantenimiento de Oficinas"/>
    <s v="Comunication Manager"/>
    <s v="Habilitación de interfaz de correos"/>
    <s v="Habilitar el envio de correos internos y/o externos"/>
    <s v="Técnica"/>
    <s v="Alta"/>
    <d v="2026-05-15T00:00:00"/>
    <d v="1899-12-30T00:00:00"/>
    <s v="TBD"/>
    <n v="0"/>
    <s v="Willy V"/>
    <b v="0"/>
    <x v="1"/>
    <s v="Soporte"/>
    <n v="0"/>
  </r>
  <r>
    <n v="7"/>
    <x v="5"/>
    <s v="Mapa"/>
    <s v="MF-JH-0031"/>
    <s v="Soporte / Spring ERP / Gestión de Logistica / Logistica de Mantenimiento de Almacén"/>
    <s v="Comunication Manager"/>
    <s v="Habilitación de interfaz de correos"/>
    <s v="Habilitar el envio de correos internos y/o externos"/>
    <s v="Técnica"/>
    <s v="Alta"/>
    <d v="2026-05-15T00:00:00"/>
    <d v="1899-12-30T00:00:00"/>
    <s v="TBD"/>
    <n v="0"/>
    <s v="Willy V"/>
    <b v="0"/>
    <x v="1"/>
    <s v="Soporte"/>
    <n v="0"/>
  </r>
  <r>
    <n v="8"/>
    <x v="5"/>
    <s v="Mapa"/>
    <s v="MF-JH-0032"/>
    <s v="Soporte / Spring ERP / Gestión de Contratos / Asignación de presupuesto"/>
    <s v="Comunication Manager"/>
    <s v="Habilitación de interfaz de correos"/>
    <s v="Habilitar el envio de correos internos y/o externos"/>
    <s v="Técnica"/>
    <s v="Alta"/>
    <d v="2026-05-15T00:00:00"/>
    <d v="1899-12-30T00:00:00"/>
    <s v="TBD"/>
    <n v="0"/>
    <s v="Willy V"/>
    <b v="0"/>
    <x v="1"/>
    <s v="Soporte"/>
    <n v="0"/>
  </r>
  <r>
    <n v="9"/>
    <x v="5"/>
    <s v="Mapa"/>
    <s v="MF-JH-0033"/>
    <s v="Soporte / Spring ERP / Gestión de Contratos / Registro de Contratos de proveedores"/>
    <s v="Comunication Manager"/>
    <s v="Habilitación de interfaz de correos"/>
    <s v="Habilitar el envio de correos internos y/o externos"/>
    <s v="Técnica"/>
    <s v="Alta"/>
    <d v="2026-05-15T00:00:00"/>
    <d v="1899-12-30T00:00:00"/>
    <s v="TBD"/>
    <n v="0"/>
    <s v="Willy V"/>
    <b v="0"/>
    <x v="1"/>
    <s v="Soporte"/>
    <n v="0"/>
  </r>
  <r>
    <n v="10"/>
    <x v="5"/>
    <s v="Mapa"/>
    <s v="MF-JH-0034"/>
    <s v="Soporte / Spring ERP / Gestión de Contratos / Registro de adendas"/>
    <s v="Comunication Manager"/>
    <s v="Habilitación de interfaz de correos"/>
    <s v="Habilitar el envio de correos internos y/o externos"/>
    <s v="Técnica"/>
    <s v="Alta"/>
    <d v="2026-05-15T00:00:00"/>
    <d v="1899-12-30T00:00:00"/>
    <s v="TBD"/>
    <n v="0"/>
    <s v="Willy V"/>
    <b v="0"/>
    <x v="1"/>
    <s v="Soporte"/>
    <n v="0"/>
  </r>
  <r>
    <n v="11"/>
    <x v="5"/>
    <s v="Mapa"/>
    <s v="MF-JH-0035"/>
    <s v="Soporte / Spring ERP / Gestión de Contratos / Actualización de saldos"/>
    <s v="Comunication Manager"/>
    <s v="Habilitación de interfaz de correos"/>
    <s v="Habilitar el envio de correos internos y/o externos"/>
    <s v="Técnica"/>
    <s v="Alta"/>
    <d v="2026-05-15T00:00:00"/>
    <d v="1899-12-30T00:00:00"/>
    <s v="TBD"/>
    <n v="0"/>
    <s v="Willy V"/>
    <b v="0"/>
    <x v="1"/>
    <s v="Soporte"/>
    <n v="0"/>
  </r>
  <r>
    <n v="12"/>
    <x v="5"/>
    <s v="Mapa"/>
    <s v="MF-JH-0036"/>
    <s v="Soporte / Spring ERP / Pago de Obligaciones / Pagos de servicios públicos (agua, luz, etc)"/>
    <s v="Comunication Manager"/>
    <s v="Habilitación de interfaz de correos"/>
    <s v="Habilitar el envio de correos internos y/o externos"/>
    <s v="Técnica"/>
    <s v="Alta"/>
    <d v="2026-05-15T00:00:00"/>
    <d v="1899-12-30T00:00:00"/>
    <s v="TBD"/>
    <n v="0"/>
    <s v="Willy V"/>
    <b v="0"/>
    <x v="1"/>
    <s v="Soporte"/>
    <n v="0"/>
  </r>
  <r>
    <n v="13"/>
    <x v="5"/>
    <s v="Mapa"/>
    <s v="MF-JH-0037"/>
    <s v="Soporte / Spring ERP / Pago de Obligaciones / Pagos de servicios públicos (agua, luz, etc)"/>
    <s v="Comunication Manager"/>
    <s v="Habilitación de interfaz de correos"/>
    <s v="Habilitar el envio de correos internos y/o externos"/>
    <s v="Técnica"/>
    <s v="Alta"/>
    <d v="2026-05-15T00:00:00"/>
    <d v="1899-12-30T00:00:00"/>
    <s v="TBD"/>
    <n v="0"/>
    <s v="Willy V"/>
    <b v="0"/>
    <x v="1"/>
    <s v="Soporte"/>
    <n v="0"/>
  </r>
  <r>
    <n v="14"/>
    <x v="5"/>
    <s v="Mapa"/>
    <s v="MF-JH-0038"/>
    <s v="Soporte / Spring ERP / Pago de Obligaciones / Cuentas por pagar/cobrar"/>
    <s v="Comunication Manager"/>
    <s v="Habilitación de interfaz de correos"/>
    <s v="Habilitar el envio de correos internos y/o externos"/>
    <s v="Técnica"/>
    <s v="Alta"/>
    <d v="2026-05-15T00:00:00"/>
    <d v="1899-12-30T00:00:00"/>
    <s v="TBD"/>
    <n v="0"/>
    <s v="Willy V"/>
    <b v="0"/>
    <x v="1"/>
    <s v="Soporte"/>
    <n v="0"/>
  </r>
  <r>
    <n v="15"/>
    <x v="5"/>
    <s v="Mapa"/>
    <s v="MF-JH-0039"/>
    <s v="Soporte / Spring ERP / Gestión de activos / Alta y Baja de Activos fijos"/>
    <s v="Comunication Manager"/>
    <s v="Habilitación de interfaz de correos"/>
    <s v="Habilitar el envio de correos internos y/o externos"/>
    <s v="Técnica"/>
    <s v="Alta"/>
    <d v="2026-05-15T00:00:00"/>
    <d v="1899-12-30T00:00:00"/>
    <s v="TBD"/>
    <n v="0"/>
    <s v="Willy V"/>
    <b v="0"/>
    <x v="1"/>
    <s v="Soporte"/>
    <n v="0"/>
  </r>
  <r>
    <n v="16"/>
    <x v="5"/>
    <s v="Mapa"/>
    <s v="MF-JH-0040"/>
    <s v="Soporte / Spring ERP / Presupuesto / Control de Presupuesto"/>
    <s v="Comunication Manager"/>
    <s v="Habilitación de interfaz de correos"/>
    <s v="Habilitar el envio de correos internos y/o externos"/>
    <s v="Técnica"/>
    <s v="Alta"/>
    <d v="2026-05-15T00:00:00"/>
    <d v="1899-12-30T00:00:00"/>
    <s v="TBD"/>
    <n v="0"/>
    <s v="Willy V"/>
    <b v="0"/>
    <x v="1"/>
    <s v="Soporte"/>
    <n v="0"/>
  </r>
  <r>
    <n v="17"/>
    <x v="5"/>
    <s v="Mapa"/>
    <s v="MF-JH-0041"/>
    <s v="Soporte / Spring ERP / Presupuesto / Inicial de presupuesto anual"/>
    <s v="Comunication Manager"/>
    <s v="Habilitación de interfaz de correos"/>
    <s v="Habilitar el envio de correos internos y/o externos"/>
    <s v="Técnica"/>
    <s v="Alta"/>
    <d v="2026-05-15T00:00:00"/>
    <d v="1899-12-30T00:00:00"/>
    <s v="TBD"/>
    <n v="0"/>
    <s v="Willy V"/>
    <b v="0"/>
    <x v="1"/>
    <s v="Soporte"/>
    <n v="0"/>
  </r>
  <r>
    <n v="18"/>
    <x v="5"/>
    <s v="Mapa"/>
    <s v="MF-JH-0042"/>
    <s v="Soporte / Spring ERP / Pago de Obligaciones / Recepción de facturas"/>
    <s v="Comunication Manager"/>
    <s v="Habilitación de interfaz de correos"/>
    <s v="Habilitar el envio de correos internos y/o externos"/>
    <s v="Técnica"/>
    <s v="Alta"/>
    <d v="2026-05-15T00:00:00"/>
    <d v="1899-12-30T00:00:00"/>
    <s v="TBD"/>
    <n v="0"/>
    <s v="Willy V"/>
    <b v="0"/>
    <x v="1"/>
    <s v="Soporte"/>
    <n v="0"/>
  </r>
  <r>
    <n v="19"/>
    <x v="5"/>
    <s v="Mapa"/>
    <s v="MF-JH-0043"/>
    <s v="Soporte / Spring ERP / Gestión de Contratos / Registro de Contratos de proveedores"/>
    <s v="Comunication Manager"/>
    <s v="Habilitación de interfaz de correos"/>
    <s v="Habilitar el envio de correos internos y/o externos"/>
    <s v="Técnica"/>
    <s v="Alta"/>
    <d v="2026-05-15T00:00:00"/>
    <d v="1899-12-30T00:00:00"/>
    <s v="TBD"/>
    <n v="0"/>
    <s v="Willy V"/>
    <b v="0"/>
    <x v="1"/>
    <s v="Soporte"/>
    <n v="0"/>
  </r>
  <r>
    <n v="20"/>
    <x v="5"/>
    <s v="Mapa"/>
    <s v="MF-JH-0044"/>
    <s v="Soporte / Spring ERP / Pago de Obligaciones / Pago a Proveedores"/>
    <s v="Comunication Manager"/>
    <s v="Habilitación de interfaz de correos"/>
    <s v="Habilitar el envio de correos internos y/o externos"/>
    <s v="Técnica"/>
    <s v="Alta"/>
    <d v="2026-05-15T00:00:00"/>
    <d v="1899-12-30T00:00:00"/>
    <s v="TBD"/>
    <n v="0"/>
    <s v="Willy V"/>
    <b v="0"/>
    <x v="1"/>
    <s v="Soporte"/>
    <n v="0"/>
  </r>
  <r>
    <n v="21"/>
    <x v="5"/>
    <s v="Mapa"/>
    <s v="MF-JH-0045"/>
    <s v="Soporte / Spring ERP / Pago de Obligaciones / Aprobación de facturas"/>
    <s v="Comunication Manager"/>
    <s v="Habilitación de interfaz de correos"/>
    <s v="Habilitar el envio de correos internos y/o externos"/>
    <s v="Técnica"/>
    <s v="Alta"/>
    <d v="2026-05-15T00:00:00"/>
    <d v="1899-12-30T00:00:00"/>
    <s v="TBD"/>
    <n v="0"/>
    <s v="Willy V"/>
    <b v="0"/>
    <x v="1"/>
    <s v="Soporte"/>
    <n v="0"/>
  </r>
  <r>
    <n v="22"/>
    <x v="5"/>
    <s v="Mapa"/>
    <s v="MF-JH-0046"/>
    <s v="Soporte / Spring ERP / Pago de Obligaciones / Pago de tributo e impuestos"/>
    <s v="Comunication Manager"/>
    <s v="Habilitación de interfaz de correos"/>
    <s v="Habilitar el envio de correos internos y/o externos"/>
    <s v="Técnica"/>
    <s v="Alta"/>
    <d v="2026-05-15T00:00:00"/>
    <d v="1899-12-30T00:00:00"/>
    <s v="TBD"/>
    <n v="0"/>
    <s v="Willy V"/>
    <b v="0"/>
    <x v="1"/>
    <s v="Soporte"/>
    <n v="0"/>
  </r>
  <r>
    <n v="23"/>
    <x v="5"/>
    <s v="Mapa"/>
    <s v="MF-JH-0047"/>
    <s v="Soporte / Spring ERP / Gestión Contable / Generación de Asientos Contables"/>
    <s v="Comunication Manager"/>
    <s v="Habilitación de interfaz de correos"/>
    <s v="Habilitar el envio de correos internos y/o externos"/>
    <s v="Técnica"/>
    <s v="Alta"/>
    <d v="2026-05-15T00:00:00"/>
    <d v="1899-12-30T00:00:00"/>
    <s v="TBD"/>
    <n v="0"/>
    <s v="Willy V"/>
    <b v="0"/>
    <x v="1"/>
    <s v="Soporte"/>
    <n v="0"/>
  </r>
  <r>
    <n v="24"/>
    <x v="5"/>
    <s v="Mapa"/>
    <s v="MF-JH-0048"/>
    <s v="Soporte / Spring ERP / Gestión Contable / Cierre Contable"/>
    <s v="Comunication Manager"/>
    <s v="Habilitación de interfaz de correos"/>
    <s v="Habilitar el envio de correos internos y/o externos"/>
    <s v="Técnica"/>
    <s v="Alta"/>
    <d v="2026-05-15T00:00:00"/>
    <d v="1899-12-30T00:00:00"/>
    <s v="TBD"/>
    <n v="0"/>
    <s v="Willy V"/>
    <b v="0"/>
    <x v="1"/>
    <s v="Soporte"/>
    <n v="0"/>
  </r>
  <r>
    <n v="25"/>
    <x v="5"/>
    <s v="Mapa"/>
    <s v="MF-JH-0049"/>
    <s v="Soporte / Spring ERP / Reportes / Reportes y Consultas"/>
    <s v="Comunication Manager"/>
    <s v="Habilitación de interfaz de correos"/>
    <s v="Habilitar el envio de correos internos y/o externos"/>
    <s v="Técnica"/>
    <s v="Alta"/>
    <d v="2026-05-15T00:00:00"/>
    <d v="1899-12-30T00:00:00"/>
    <s v="TBD"/>
    <n v="0"/>
    <s v="Willy V"/>
    <b v="0"/>
    <x v="1"/>
    <s v="Soporte"/>
    <n v="0"/>
  </r>
  <r>
    <n v="26"/>
    <x v="5"/>
    <s v="Mapa"/>
    <s v="MF-JH-0028"/>
    <s v="Soporte / Spring ERP / Gestión de Logistica / Logistica de Proveedores"/>
    <s v="Infraestructura"/>
    <s v="Habilitación de infraestructura"/>
    <s v="Habilitar la infraestructura AWS"/>
    <s v="Técnica"/>
    <s v="Alta"/>
    <d v="2026-05-15T00:00:00"/>
    <d v="1899-12-30T00:00:00"/>
    <d v="2026-05-15T00:00:00"/>
    <n v="0"/>
    <s v="Hector G."/>
    <b v="0"/>
    <x v="2"/>
    <s v="Soporte"/>
    <n v="0"/>
  </r>
  <r>
    <n v="27"/>
    <x v="5"/>
    <s v="Mapa"/>
    <s v="MF-JH-0029"/>
    <s v="Soporte / Spring ERP / Gestión de Logistica / Logistica de Economato"/>
    <s v="Infraestructura"/>
    <s v="Habilitación de infraestructura"/>
    <s v="Habilitar la infraestructura AWS"/>
    <s v="Técnica"/>
    <s v="Alta"/>
    <d v="2026-05-15T00:00:00"/>
    <d v="1899-12-30T00:00:00"/>
    <d v="2026-05-15T00:00:00"/>
    <n v="0"/>
    <s v="Hector G."/>
    <b v="0"/>
    <x v="2"/>
    <s v="Soporte"/>
    <n v="0"/>
  </r>
  <r>
    <n v="28"/>
    <x v="5"/>
    <s v="Mapa"/>
    <s v="MF-JH-0030"/>
    <s v="Soporte / Spring ERP / Gestión de Logistica / Mantenimiento de Oficinas"/>
    <s v="Infraestructura"/>
    <s v="Habilitación de infraestructura"/>
    <s v="Habilitar la infraestructura AWS"/>
    <s v="Técnica"/>
    <s v="Alta"/>
    <d v="2026-05-15T00:00:00"/>
    <d v="1899-12-30T00:00:00"/>
    <d v="2026-05-15T00:00:00"/>
    <n v="0"/>
    <s v="Hector G."/>
    <b v="0"/>
    <x v="2"/>
    <s v="Soporte"/>
    <n v="0"/>
  </r>
  <r>
    <n v="29"/>
    <x v="5"/>
    <s v="Mapa"/>
    <s v="MF-JH-0031"/>
    <s v="Soporte / Spring ERP / Gestión de Logistica / Logistica de Mantenimiento de Almacén"/>
    <s v="Infraestructura"/>
    <s v="Habilitación de infraestructura"/>
    <s v="Habilitar la infraestructura AWS"/>
    <s v="Técnica"/>
    <s v="Alta"/>
    <d v="2026-05-15T00:00:00"/>
    <d v="1899-12-30T00:00:00"/>
    <d v="2026-05-15T00:00:00"/>
    <n v="0"/>
    <s v="Hector G."/>
    <b v="0"/>
    <x v="2"/>
    <s v="Soporte"/>
    <n v="0"/>
  </r>
  <r>
    <n v="30"/>
    <x v="5"/>
    <s v="Mapa"/>
    <s v="MF-JH-0032"/>
    <s v="Soporte / Spring ERP / Gestión de Contratos / Asignación de presupuesto"/>
    <s v="Infraestructura"/>
    <s v="Habilitación de infraestructura"/>
    <s v="Habilitar la infraestructura AWS"/>
    <s v="Técnica"/>
    <s v="Alta"/>
    <d v="2026-05-15T00:00:00"/>
    <d v="1899-12-30T00:00:00"/>
    <d v="2026-05-15T00:00:00"/>
    <n v="0"/>
    <s v="Hector G."/>
    <b v="0"/>
    <x v="2"/>
    <s v="Soporte"/>
    <n v="0"/>
  </r>
  <r>
    <n v="31"/>
    <x v="5"/>
    <s v="Mapa"/>
    <s v="MF-JH-0033"/>
    <s v="Soporte / Spring ERP / Gestión de Contratos / Registro de Contratos de proveedores"/>
    <s v="Infraestructura"/>
    <s v="Habilitación de infraestructura"/>
    <s v="Habilitar la infraestructura AWS"/>
    <s v="Técnica"/>
    <s v="Alta"/>
    <d v="2026-05-15T00:00:00"/>
    <d v="1899-12-30T00:00:00"/>
    <d v="2026-05-15T00:00:00"/>
    <n v="0"/>
    <s v="Hector G."/>
    <b v="0"/>
    <x v="2"/>
    <s v="Soporte"/>
    <n v="0"/>
  </r>
  <r>
    <n v="32"/>
    <x v="5"/>
    <s v="Mapa"/>
    <s v="MF-JH-0034"/>
    <s v="Soporte / Spring ERP / Gestión de Contratos / Registro de adendas"/>
    <s v="Infraestructura"/>
    <s v="Habilitación de infraestructura"/>
    <s v="Habilitar la infraestructura AWS"/>
    <s v="Técnica"/>
    <s v="Alta"/>
    <d v="2026-05-15T00:00:00"/>
    <d v="1899-12-30T00:00:00"/>
    <d v="2026-05-15T00:00:00"/>
    <n v="0"/>
    <s v="Hector G."/>
    <b v="0"/>
    <x v="2"/>
    <s v="Soporte"/>
    <n v="0"/>
  </r>
  <r>
    <n v="33"/>
    <x v="5"/>
    <s v="Mapa"/>
    <s v="MF-JH-0035"/>
    <s v="Soporte / Spring ERP / Gestión de Contratos / Actualización de saldos"/>
    <s v="Infraestructura"/>
    <s v="Habilitación de infraestructura"/>
    <s v="Habilitar la infraestructura AWS"/>
    <s v="Técnica"/>
    <s v="Alta"/>
    <d v="2026-05-15T00:00:00"/>
    <d v="1899-12-30T00:00:00"/>
    <d v="2026-05-15T00:00:00"/>
    <n v="0"/>
    <s v="Hector G."/>
    <b v="0"/>
    <x v="2"/>
    <s v="Soporte"/>
    <n v="0"/>
  </r>
  <r>
    <n v="34"/>
    <x v="5"/>
    <s v="Mapa"/>
    <s v="MF-JH-0036"/>
    <s v="Soporte / Spring ERP / Pago de Obligaciones / Pagos de servicios públicos (agua, luz, etc)"/>
    <s v="Infraestructura"/>
    <s v="Habilitación de infraestructura"/>
    <s v="Habilitar la infraestructura AWS"/>
    <s v="Técnica"/>
    <s v="Alta"/>
    <d v="2026-05-15T00:00:00"/>
    <d v="1899-12-30T00:00:00"/>
    <d v="2026-05-15T00:00:00"/>
    <n v="0"/>
    <s v="Hector G."/>
    <b v="0"/>
    <x v="2"/>
    <s v="Soporte"/>
    <n v="0"/>
  </r>
  <r>
    <n v="35"/>
    <x v="5"/>
    <s v="Mapa"/>
    <s v="MF-JH-0037"/>
    <s v="Soporte / Spring ERP / Pago de Obligaciones / Pagos de servicios públicos (agua, luz, etc)"/>
    <s v="Infraestructura"/>
    <s v="Habilitación de infraestructura"/>
    <s v="Habilitar la infraestructura AWS"/>
    <s v="Técnica"/>
    <s v="Alta"/>
    <d v="2026-05-15T00:00:00"/>
    <d v="1899-12-30T00:00:00"/>
    <d v="2026-05-15T00:00:00"/>
    <n v="0"/>
    <s v="Hector G."/>
    <b v="0"/>
    <x v="2"/>
    <s v="Soporte"/>
    <n v="0"/>
  </r>
  <r>
    <n v="36"/>
    <x v="5"/>
    <s v="Mapa"/>
    <s v="MF-JH-0002"/>
    <s v="Soporte / Spring ERP / Pago de Obligaciones / Habilitación de plantilla Telebanking"/>
    <s v="Infraestructura"/>
    <s v="Habilitación de infraestructura"/>
    <s v="Habilitar la infraestructura AWS"/>
    <s v="Técnica"/>
    <s v="Alta"/>
    <d v="2026-05-15T00:00:00"/>
    <d v="1899-12-30T00:00:00"/>
    <d v="2026-05-15T00:00:00"/>
    <n v="0"/>
    <s v="Hector G."/>
    <b v="0"/>
    <x v="2"/>
    <s v="Soporte"/>
    <n v="0"/>
  </r>
  <r>
    <n v="37"/>
    <x v="5"/>
    <s v="Mapa"/>
    <s v="MF-JH-0003"/>
    <s v="Soporte / Spring ERP / Pago de Obligaciones / Habilitación de plantilla SUNAT"/>
    <s v="Infraestructura"/>
    <s v="Habilitación de infraestructura"/>
    <s v="Habilitar la infraestructura AWS"/>
    <s v="Técnica"/>
    <s v="Alta"/>
    <d v="2026-05-15T00:00:00"/>
    <d v="1899-12-30T00:00:00"/>
    <d v="2026-05-15T00:00:00"/>
    <n v="0"/>
    <s v="Hector G."/>
    <b v="0"/>
    <x v="2"/>
    <s v="Soporte"/>
    <n v="0"/>
  </r>
  <r>
    <n v="38"/>
    <x v="5"/>
    <s v="Mapa"/>
    <s v="MF-JH-0004"/>
    <s v="Soporte / Spring ERP / Pago de Obligaciones / Habilitación de Sincronización de Empleados Adryan"/>
    <s v="Infraestructura"/>
    <s v="Habilitación de infraestructura"/>
    <s v="Habilitar la infraestructura AWS"/>
    <s v="Técnica"/>
    <s v="Alta"/>
    <d v="2026-05-15T00:00:00"/>
    <d v="1899-12-30T00:00:00"/>
    <d v="2026-05-15T00:00:00"/>
    <n v="0"/>
    <s v="Hector G."/>
    <b v="0"/>
    <x v="2"/>
    <s v="Soporte"/>
    <n v="0"/>
  </r>
  <r>
    <n v="39"/>
    <x v="5"/>
    <s v="Mapa"/>
    <s v="MF-JH-0005"/>
    <s v="Soporte / Spring ERP / Gestión Contable / Habilitación de Asientos Contables con el Core"/>
    <s v="Infraestructura"/>
    <s v="Habilitación de infraestructura"/>
    <s v="Habilitar la infraestructura AWS"/>
    <s v="Técnica"/>
    <s v="Alta"/>
    <d v="2026-05-15T00:00:00"/>
    <d v="1899-12-30T00:00:00"/>
    <d v="2026-05-15T00:00:00"/>
    <n v="0"/>
    <s v="Hector G."/>
    <b v="0"/>
    <x v="2"/>
    <s v="Soporte"/>
    <n v="0"/>
  </r>
  <r>
    <n v="40"/>
    <x v="5"/>
    <s v="Mapa"/>
    <s v="MF-JH-0038"/>
    <s v="Soporte / Spring ERP / Pago de Obligaciones / Cuentas por pagar/cobrar"/>
    <s v="Infraestructura"/>
    <s v="Habilitación de infraestructura"/>
    <s v="Habilitar la infraestructura AWS"/>
    <s v="Técnica"/>
    <s v="Alta"/>
    <d v="2026-05-15T00:00:00"/>
    <d v="1899-12-30T00:00:00"/>
    <d v="2026-05-15T00:00:00"/>
    <n v="0"/>
    <s v="Hector G."/>
    <b v="0"/>
    <x v="2"/>
    <s v="Soporte"/>
    <n v="0"/>
  </r>
  <r>
    <n v="41"/>
    <x v="5"/>
    <s v="Mapa"/>
    <s v="MF-JH-0039"/>
    <s v="Soporte / Spring ERP / Gestión de activos / Alta y Baja de Activos fijos"/>
    <s v="Infraestructura"/>
    <s v="Habilitación de infraestructura"/>
    <s v="Habilitar la infraestructura AWS"/>
    <s v="Técnica"/>
    <s v="Alta"/>
    <d v="2026-05-15T00:00:00"/>
    <d v="1899-12-30T00:00:00"/>
    <d v="2026-05-15T00:00:00"/>
    <n v="0"/>
    <s v="Hector G."/>
    <b v="0"/>
    <x v="2"/>
    <s v="Soporte"/>
    <n v="0"/>
  </r>
  <r>
    <n v="42"/>
    <x v="5"/>
    <s v="Mapa"/>
    <s v="MF-JH-0040"/>
    <s v="Soporte / Spring ERP / Presupuesto / Control de Presupuesto"/>
    <s v="Infraestructura"/>
    <s v="Habilitación de infraestructura"/>
    <s v="Habilitar la infraestructura AWS"/>
    <s v="Técnica"/>
    <s v="Alta"/>
    <d v="2026-05-15T00:00:00"/>
    <d v="1899-12-30T00:00:00"/>
    <d v="2026-05-15T00:00:00"/>
    <n v="0"/>
    <s v="Hector G."/>
    <b v="0"/>
    <x v="2"/>
    <s v="Soporte"/>
    <n v="0"/>
  </r>
  <r>
    <n v="43"/>
    <x v="5"/>
    <s v="Mapa"/>
    <s v="MF-JH-0041"/>
    <s v="Soporte / Spring ERP / Presupuesto / Inicial de presupuesto anual"/>
    <s v="Infraestructura"/>
    <s v="Habilitación de infraestructura"/>
    <s v="Habilitar la infraestructura AWS"/>
    <s v="Técnica"/>
    <s v="Alta"/>
    <d v="2026-05-15T00:00:00"/>
    <d v="1899-12-30T00:00:00"/>
    <d v="2026-05-15T00:00:00"/>
    <n v="0"/>
    <s v="Hector G."/>
    <b v="0"/>
    <x v="2"/>
    <s v="Soporte"/>
    <n v="0"/>
  </r>
  <r>
    <n v="44"/>
    <x v="5"/>
    <s v="Mapa"/>
    <s v="MF-JH-0042"/>
    <s v="Soporte / Spring ERP / Pago de Obligaciones / Recepción de facturas"/>
    <s v="Infraestructura"/>
    <s v="Habilitación de infraestructura"/>
    <s v="Habilitar la infraestructura AWS"/>
    <s v="Técnica"/>
    <s v="Alta"/>
    <d v="2026-05-15T00:00:00"/>
    <d v="1899-12-30T00:00:00"/>
    <d v="2026-05-15T00:00:00"/>
    <n v="0"/>
    <s v="Hector G."/>
    <b v="0"/>
    <x v="2"/>
    <s v="Soporte"/>
    <n v="0"/>
  </r>
  <r>
    <n v="45"/>
    <x v="5"/>
    <s v="Mapa"/>
    <s v="MF-JH-0043"/>
    <s v="Soporte / Spring ERP / Gestión de Contratos / Registro de Contratos de proveedores"/>
    <s v="Infraestructura"/>
    <s v="Habilitación de infraestructura"/>
    <s v="Habilitar la infraestructura AWS"/>
    <s v="Técnica"/>
    <s v="Alta"/>
    <d v="2026-05-15T00:00:00"/>
    <d v="1899-12-30T00:00:00"/>
    <d v="2026-05-15T00:00:00"/>
    <n v="0"/>
    <s v="Hector G."/>
    <b v="0"/>
    <x v="2"/>
    <s v="Soporte"/>
    <n v="0"/>
  </r>
  <r>
    <n v="46"/>
    <x v="5"/>
    <s v="Mapa"/>
    <s v="MF-JH-0044"/>
    <s v="Soporte / Spring ERP / Pago de Obligaciones / Pago a Proveedores"/>
    <s v="Infraestructura"/>
    <s v="Habilitación de infraestructura"/>
    <s v="Habilitar la infraestructura AWS"/>
    <s v="Técnica"/>
    <s v="Alta"/>
    <d v="2026-05-15T00:00:00"/>
    <d v="1899-12-30T00:00:00"/>
    <d v="2026-05-15T00:00:00"/>
    <n v="0"/>
    <s v="Hector G."/>
    <b v="0"/>
    <x v="2"/>
    <s v="Soporte"/>
    <n v="0"/>
  </r>
  <r>
    <n v="47"/>
    <x v="5"/>
    <s v="Mapa"/>
    <s v="MF-JH-0045"/>
    <s v="Soporte / Spring ERP / Pago de Obligaciones / Aprobación de facturas"/>
    <s v="Infraestructura"/>
    <s v="Habilitación de infraestructura"/>
    <s v="Habilitar la infraestructura AWS"/>
    <s v="Técnica"/>
    <s v="Alta"/>
    <d v="2026-05-15T00:00:00"/>
    <d v="1899-12-30T00:00:00"/>
    <d v="2026-05-15T00:00:00"/>
    <n v="0"/>
    <s v="Hector G."/>
    <b v="0"/>
    <x v="2"/>
    <s v="Soporte"/>
    <n v="0"/>
  </r>
  <r>
    <n v="48"/>
    <x v="5"/>
    <s v="Mapa"/>
    <s v="MF-JH-0046"/>
    <s v="Soporte / Spring ERP / Pago de Obligaciones / Pago de tributo e impuestos"/>
    <s v="Infraestructura"/>
    <s v="Habilitación de infraestructura"/>
    <s v="Habilitar la infraestructura AWS"/>
    <s v="Técnica"/>
    <s v="Alta"/>
    <d v="2026-05-15T00:00:00"/>
    <d v="1899-12-30T00:00:00"/>
    <d v="2026-05-15T00:00:00"/>
    <n v="0"/>
    <s v="Hector G."/>
    <b v="0"/>
    <x v="2"/>
    <s v="Soporte"/>
    <n v="0"/>
  </r>
  <r>
    <n v="49"/>
    <x v="5"/>
    <s v="Mapa"/>
    <s v="MF-JH-0047"/>
    <s v="Soporte / Spring ERP / Gestión Contable / Generación de Asientos Contables"/>
    <s v="Infraestructura"/>
    <s v="Habilitación de infraestructura"/>
    <s v="Habilitar la infraestructura AWS"/>
    <s v="Técnica"/>
    <s v="Alta"/>
    <d v="2026-05-15T00:00:00"/>
    <d v="1899-12-30T00:00:00"/>
    <d v="2026-05-15T00:00:00"/>
    <n v="0"/>
    <s v="Hector G."/>
    <b v="0"/>
    <x v="2"/>
    <s v="Soporte"/>
    <n v="0"/>
  </r>
  <r>
    <n v="50"/>
    <x v="5"/>
    <s v="Mapa"/>
    <s v="MF-JH-0048"/>
    <s v="Soporte / Spring ERP / Gestión Contable / Cierre Contable"/>
    <s v="Infraestructura"/>
    <s v="Habilitación de infraestructura"/>
    <s v="Habilitar la infraestructura AWS"/>
    <s v="Técnica"/>
    <s v="Alta"/>
    <d v="2026-05-15T00:00:00"/>
    <d v="1899-12-30T00:00:00"/>
    <d v="2026-05-15T00:00:00"/>
    <n v="0"/>
    <s v="Hector G."/>
    <b v="0"/>
    <x v="2"/>
    <s v="Soporte"/>
    <n v="0"/>
  </r>
  <r>
    <n v="51"/>
    <x v="5"/>
    <s v="Mapa"/>
    <s v="MF-JH-0049"/>
    <s v="Soporte / Spring ERP / Reportes / Reportes y Consultas"/>
    <s v="Infraestructura"/>
    <s v="Habilitación de infraestructura"/>
    <s v="Habilitar la infraestructura AWS"/>
    <s v="Técnica"/>
    <s v="Alta"/>
    <d v="2026-05-15T00:00:00"/>
    <d v="1899-12-30T00:00:00"/>
    <d v="2026-05-15T00:00:00"/>
    <n v="0"/>
    <s v="Hector G."/>
    <b v="0"/>
    <x v="2"/>
    <s v="Soporte"/>
    <n v="0"/>
  </r>
  <r>
    <n v="53"/>
    <x v="5"/>
    <s v="Mapa"/>
    <s v="MF-JH-0026"/>
    <s v="Soporte / Modellica (Motor de Cobranzas)"/>
    <s v="Cards y Payments"/>
    <s v="Definición de archivos y campos de Izipay para TC"/>
    <s v="Definición de archivos y campos de Izipay para TC"/>
    <s v="Técnica"/>
    <s v="Alta"/>
    <d v="2026-03-27T00:00:00"/>
    <d v="1899-12-30T00:00:00"/>
    <s v="TBD"/>
    <n v="0"/>
    <s v="Freddy C."/>
    <b v="1"/>
    <x v="2"/>
    <s v="Soporte"/>
    <n v="0"/>
  </r>
  <r>
    <n v="54"/>
    <x v="5"/>
    <s v="Mapa"/>
    <s v="MF-JH-0007"/>
    <s v="Soporte / Consulta en Línea (RENIEC) / Consulta de la Ficha RENIEC"/>
    <s v="Infraestructura"/>
    <s v="Habilitación de infraestructura"/>
    <s v="Habilitación de infraestructura en OnPremise y AWS"/>
    <s v="Técnica"/>
    <s v="Alta"/>
    <d v="2026-03-30T00:00:00"/>
    <d v="2026-04-20T00:00:00"/>
    <d v="2026-04-30T00:00:00"/>
    <n v="0"/>
    <s v="Hector G."/>
    <b v="1"/>
    <x v="3"/>
    <s v="Soporte"/>
    <n v="0"/>
  </r>
  <r>
    <n v="55"/>
    <x v="5"/>
    <s v="Mapa"/>
    <s v="MF-JH-0007"/>
    <s v="Soporte / Consulta en Línea (RENIEC) / Consulta de la Ficha RENIEC"/>
    <s v="Proveedor Synopsis"/>
    <s v="Despliegue de la Solución"/>
    <s v="Despliegue de Solución de Synopsis en OnPremise y AWS"/>
    <s v="Técnica"/>
    <s v="Alta"/>
    <d v="2026-04-30T00:00:00"/>
    <d v="1899-12-30T00:00:00"/>
    <d v="2026-05-29T00:00:00"/>
    <n v="0"/>
    <s v="Jaime H."/>
    <b v="1"/>
    <x v="2"/>
    <s v="Soporte"/>
    <n v="0"/>
  </r>
  <r>
    <n v="56"/>
    <x v="5"/>
    <s v="Mapa"/>
    <s v="MF-JH-0025"/>
    <s v="Soporte / Consulta en Línea (RENIEC) / Reporte diario de todas las consultas de la Ficha RENIEC por usuario"/>
    <s v="Proveedor Synopsis"/>
    <s v="Despliegue de la Solución"/>
    <s v="Despliegue de Solución de Synopsis en OnPremise y AWS"/>
    <s v="Técnica"/>
    <s v="Alta"/>
    <d v="2026-04-30T00:00:00"/>
    <d v="1899-12-30T00:00:00"/>
    <d v="2026-05-29T00:00:00"/>
    <n v="0"/>
    <s v="Jaime H."/>
    <b v="1"/>
    <x v="2"/>
    <s v="Soporte"/>
    <n v="0"/>
  </r>
  <r>
    <n v="57"/>
    <x v="5"/>
    <s v="Mapa"/>
    <s v="MF-JH-0007"/>
    <s v="Soporte / Consulta en Línea (RENIEC) / Consulta de la Ficha RENIEC"/>
    <s v="RENIEC"/>
    <s v="Habilitación de ambiente Pruebas"/>
    <s v="Habilitación de ambiente de Pruebas"/>
    <s v="Técnica"/>
    <s v="Alta"/>
    <d v="2026-04-30T00:00:00"/>
    <d v="1899-12-30T00:00:00"/>
    <d v="2026-05-29T00:00:00"/>
    <n v="0"/>
    <s v="RENIEC"/>
    <b v="1"/>
    <x v="0"/>
    <s v="Soporte"/>
    <n v="0"/>
  </r>
  <r>
    <n v="58"/>
    <x v="5"/>
    <s v="Mapa"/>
    <s v="MF-JH-0025"/>
    <s v="Soporte / Consulta en Línea (RENIEC) / Reporte diario de todas las consultas de la Ficha RENIEC por usuario"/>
    <s v="RENIEC"/>
    <s v="Habilitación de ambiente Pruebas"/>
    <s v="Habilitación de ambiente de Pruebas"/>
    <s v="Técnica"/>
    <s v="Alta"/>
    <d v="2026-04-30T00:00:00"/>
    <d v="1899-12-30T00:00:00"/>
    <d v="2026-05-29T00:00:00"/>
    <n v="0"/>
    <s v="RENIEC"/>
    <b v="1"/>
    <x v="0"/>
    <s v="Soporte"/>
    <n v="0"/>
  </r>
  <r>
    <n v="59"/>
    <x v="5"/>
    <s v="Mapa"/>
    <s v="MF-JH-0007"/>
    <s v="Soporte / Consulta en Línea (RENIEC)"/>
    <s v="Bantotal"/>
    <s v="Habilitación Pantalla"/>
    <s v="Habilitación de pantalla de consulta dentro de Bantotal Web"/>
    <s v="Técnica"/>
    <s v="Alta"/>
    <d v="2026-04-30T00:00:00"/>
    <d v="1899-12-30T00:00:00"/>
    <d v="1899-12-30T00:00:00"/>
    <n v="0"/>
    <s v="Julio P."/>
    <b v="1"/>
    <x v="2"/>
    <s v="Soporte"/>
    <s v="Pendiente Rpta Bantotal"/>
  </r>
  <r>
    <n v="60"/>
    <x v="5"/>
    <s v="Mapa"/>
    <s v="M-X"/>
    <s v="Soporte / Modellica (Admisión Crediticia)"/>
    <s v="Data"/>
    <s v="Disponibilización de información"/>
    <s v="Tablas de información de RCC, Core (mora) y Riesgos"/>
    <s v="Técnica"/>
    <s v="Alta"/>
    <d v="2026-04-30T00:00:00"/>
    <d v="1899-12-30T00:00:00"/>
    <d v="1899-12-30T00:00:00"/>
    <n v="0"/>
    <s v="Jean A."/>
    <b v="1"/>
    <x v="1"/>
    <s v="Soporte"/>
    <s v="Pendiente acordar fecha"/>
  </r>
  <r>
    <n v="61"/>
    <x v="5"/>
    <s v="Mapa"/>
    <s v="M-X"/>
    <s v="Soporte / Modellica (Admisión Crediticia)"/>
    <s v="Integración"/>
    <s v="Integracion de MS"/>
    <s v="Publicar APIs"/>
    <s v="Técnica"/>
    <s v="Alta"/>
    <d v="2026-04-30T00:00:00"/>
    <d v="1899-12-30T00:00:00"/>
    <d v="2026-04-30T00:00:00"/>
    <n v="0"/>
    <s v="Jorge P."/>
    <b v="1"/>
    <x v="2"/>
    <s v="Soporte"/>
    <n v="0"/>
  </r>
  <r>
    <n v="62"/>
    <x v="5"/>
    <s v="Mapa"/>
    <s v="MF-JH-0025"/>
    <s v="Soporte / Consulta en Línea (RENIEC) / Reporte diario de todas las consultas de la Ficha RENIEC por usuario"/>
    <s v="Infraestructura"/>
    <s v="Habilitación de infraestructura"/>
    <s v="Habilitación de infraestructura en OnPremise y AWS"/>
    <s v="Técnica"/>
    <s v="Alta"/>
    <d v="2026-03-30T00:00:00"/>
    <d v="2026-04-20T00:00:00"/>
    <d v="2026-04-30T00:00:00"/>
    <n v="0"/>
    <s v="Hector G."/>
    <b v="1"/>
    <x v="3"/>
    <s v="Soporte"/>
    <n v="0"/>
  </r>
  <r>
    <n v="63"/>
    <x v="5"/>
    <s v="Mapa"/>
    <s v="M-X"/>
    <s v="Soporte / KYC"/>
    <s v="Integración"/>
    <s v="Integracion de MS"/>
    <s v="Integrar microservicios con canonicas"/>
    <s v="Técnica"/>
    <s v="Alta"/>
    <d v="2026-04-06T00:00:00"/>
    <d v="2026-04-17T00:00:00"/>
    <d v="2026-04-06T00:00:00"/>
    <n v="0"/>
    <s v="Jorge P."/>
    <b v="1"/>
    <x v="3"/>
    <s v="Soporte"/>
    <n v="0"/>
  </r>
  <r>
    <n v="64"/>
    <x v="5"/>
    <s v="Mapa"/>
    <s v="M-X"/>
    <s v="Soporte / Modellica (Admisión Crediticia)"/>
    <s v="Integración"/>
    <s v="Payload de respuesta del WatchList"/>
    <s v="Agregar campos adicionales para la Mesa de Conseciones y Modellica (Admisión Crediticia) cuando se hace match con alguna lista"/>
    <s v="Técnica"/>
    <s v="Alta"/>
    <d v="2026-04-30T00:00:00"/>
    <d v="1899-12-30T00:00:00"/>
    <d v="1899-12-30T00:00:00"/>
    <n v="0"/>
    <s v="Jorge P."/>
    <b v="1"/>
    <x v="2"/>
    <s v="Soporte"/>
    <s v="Pendiente acordar fecha"/>
  </r>
  <r>
    <n v="65"/>
    <x v="5"/>
    <s v="Mapa"/>
    <s v="MF-JH-0026"/>
    <s v="Soporte / Modellica (Motor de Cobranzas)"/>
    <s v="Data"/>
    <s v="Disponibilización de archivos"/>
    <s v="Archivos de información del Core, TC, Riesgos y CyberFinancial"/>
    <s v="Técnica"/>
    <s v="Alta"/>
    <d v="2026-04-30T00:00:00"/>
    <d v="1899-12-30T00:00:00"/>
    <d v="2026-09-28T00:00:00"/>
    <n v="0"/>
    <s v="Jean A."/>
    <b v="1"/>
    <x v="1"/>
    <s v="Soporte"/>
    <n v="0"/>
  </r>
  <r>
    <n v="66"/>
    <x v="5"/>
    <s v="Mapa"/>
    <s v="MF-JH-0008"/>
    <s v="Soporte / Adryan Web / Estructura y Organización / Módulo de Organización (Unidades, Centros de Costo, Ubicaciones)"/>
    <s v="Comunication Manager"/>
    <s v="Habilitación de interfaz de correos"/>
    <s v="Habilitar el envio de correos internos y/o externos"/>
    <s v="Técnica"/>
    <s v="Alta"/>
    <d v="2026-05-15T00:00:00"/>
    <d v="1899-12-30T00:00:00"/>
    <s v="TBD"/>
    <n v="0"/>
    <s v="Willy V"/>
    <b v="0"/>
    <x v="1"/>
    <s v="Soporte"/>
    <n v="0"/>
  </r>
  <r>
    <n v="67"/>
    <x v="5"/>
    <s v="Mapa"/>
    <s v="MF-JH-0009"/>
    <s v="Soporte / Adryan Web / Estructura y Organización / Módulo de Gestión de Puestos"/>
    <s v="Comunication Manager"/>
    <s v="Habilitación de interfaz de correos"/>
    <s v="Habilitar el envio de correos internos y/o externos"/>
    <s v="Técnica"/>
    <s v="Alta"/>
    <d v="2026-05-15T00:00:00"/>
    <d v="1899-12-30T00:00:00"/>
    <s v="TBD"/>
    <n v="0"/>
    <s v="Willy V"/>
    <b v="0"/>
    <x v="1"/>
    <s v="Soporte"/>
    <n v="0"/>
  </r>
  <r>
    <n v="68"/>
    <x v="5"/>
    <s v="Mapa"/>
    <s v="MF-JH-0010"/>
    <s v="Soporte / Adryan Web / Gestión de Personal / Módulo de Administración de Personal (Datos, Contratos - 20 modelos)"/>
    <s v="Comunication Manager"/>
    <s v="Habilitación de interfaz de correos"/>
    <s v="Habilitar el envio de correos internos y/o externos"/>
    <s v="Técnica"/>
    <s v="Alta"/>
    <d v="2026-05-15T00:00:00"/>
    <d v="1899-12-30T00:00:00"/>
    <s v="TBD"/>
    <n v="0"/>
    <s v="Willy V"/>
    <b v="0"/>
    <x v="1"/>
    <s v="Soporte"/>
    <n v="0"/>
  </r>
  <r>
    <n v="69"/>
    <x v="5"/>
    <s v="Mapa"/>
    <s v="MF-JH-0011"/>
    <s v="Soporte / Adryan Web / Gestión de Personal / Módulo de Movimiento de Personal (Cambios, Cesaciones)"/>
    <s v="Comunication Manager"/>
    <s v="Habilitación de interfaz de correos"/>
    <s v="Habilitar el envio de correos internos y/o externos"/>
    <s v="Técnica"/>
    <s v="Alta"/>
    <d v="2026-05-15T00:00:00"/>
    <d v="1899-12-30T00:00:00"/>
    <s v="TBD"/>
    <n v="0"/>
    <s v="Willy V"/>
    <b v="0"/>
    <x v="1"/>
    <s v="Soporte"/>
    <n v="0"/>
  </r>
  <r>
    <n v="70"/>
    <x v="5"/>
    <s v="Mapa"/>
    <s v="MF-JH-0012"/>
    <s v="Soporte / Adryan Web / Gestión de Personal / Módulo de Actualización de Datos"/>
    <s v="Comunication Manager"/>
    <s v="Habilitación de interfaz de correos"/>
    <s v="Habilitar el envio de correos internos y/o externos"/>
    <s v="Técnica"/>
    <s v="Alta"/>
    <d v="2026-05-15T00:00:00"/>
    <d v="1899-12-30T00:00:00"/>
    <s v="TBD"/>
    <n v="0"/>
    <s v="Willy V"/>
    <b v="0"/>
    <x v="1"/>
    <s v="Soporte"/>
    <n v="0"/>
  </r>
  <r>
    <n v="71"/>
    <x v="5"/>
    <s v="Mapa"/>
    <s v="MF-JH-0013"/>
    <s v="Soporte / Adryan Web / Control de Asistencia / Módulo de Asistencia (Turnos, Permisos, Licencias)"/>
    <s v="Comunication Manager"/>
    <s v="Habilitación de interfaz de correos"/>
    <s v="Habilitar el envio de correos internos y/o externos"/>
    <s v="Técnica"/>
    <s v="Alta"/>
    <d v="2026-05-15T00:00:00"/>
    <d v="1899-12-30T00:00:00"/>
    <s v="TBD"/>
    <n v="0"/>
    <s v="Willy V"/>
    <b v="0"/>
    <x v="1"/>
    <s v="Soporte"/>
    <n v="0"/>
  </r>
  <r>
    <n v="72"/>
    <x v="5"/>
    <s v="Mapa"/>
    <s v="MF-JH-0014"/>
    <s v="Soporte / Adryan Web / Control de Asistencia / Reportes de ausencias, tardanzas, horas extras"/>
    <s v="Comunication Manager"/>
    <s v="Habilitación de interfaz de correos"/>
    <s v="Habilitar el envio de correos internos y/o externos"/>
    <s v="Técnica"/>
    <s v="Alta"/>
    <d v="2026-05-15T00:00:00"/>
    <d v="1899-12-30T00:00:00"/>
    <s v="TBD"/>
    <n v="0"/>
    <s v="Willy V"/>
    <b v="0"/>
    <x v="1"/>
    <s v="Soporte"/>
    <n v="0"/>
  </r>
  <r>
    <n v="73"/>
    <x v="5"/>
    <s v="Mapa"/>
    <s v="MF-JH-0015"/>
    <s v="Soporte / Adryan Web / Gestión de Vacaciones / Módulo de Solicitud de Vacaciones (con notificaciones)"/>
    <s v="Comunication Manager"/>
    <s v="Habilitación de interfaz de correos"/>
    <s v="Habilitar el envio de correos internos y/o externos"/>
    <s v="Técnica"/>
    <s v="Alta"/>
    <d v="2026-05-15T00:00:00"/>
    <d v="1899-12-30T00:00:00"/>
    <s v="TBD"/>
    <n v="0"/>
    <s v="Willy V"/>
    <b v="0"/>
    <x v="1"/>
    <s v="Soporte"/>
    <n v="0"/>
  </r>
  <r>
    <n v="74"/>
    <x v="5"/>
    <s v="Mapa"/>
    <s v="MF-JH-0016"/>
    <s v="Soporte / Adryan Web / Gestión de Vacaciones / Reportes de vacaciones gozadas y pendientes"/>
    <s v="Comunication Manager"/>
    <s v="Habilitación de interfaz de correos"/>
    <s v="Habilitar el envio de correos internos y/o externos"/>
    <s v="Técnica"/>
    <s v="Alta"/>
    <d v="2026-05-15T00:00:00"/>
    <d v="1899-12-30T00:00:00"/>
    <s v="TBD"/>
    <n v="0"/>
    <s v="Willy V"/>
    <b v="0"/>
    <x v="1"/>
    <s v="Soporte"/>
    <n v="0"/>
  </r>
  <r>
    <n v="75"/>
    <x v="5"/>
    <s v="Mapa"/>
    <s v="MF-JH-0017"/>
    <s v="Soporte / Adryan Web / Compensación y Nómina / Módulo de Administración de Planillas (Conceptos, Cálculos)"/>
    <s v="Comunication Manager"/>
    <s v="Habilitación de interfaz de correos"/>
    <s v="Habilitar el envio de correos internos y/o externos"/>
    <s v="Técnica"/>
    <s v="Alta"/>
    <d v="2026-05-15T00:00:00"/>
    <d v="1899-12-30T00:00:00"/>
    <s v="TBD"/>
    <n v="0"/>
    <s v="Willy V"/>
    <b v="0"/>
    <x v="1"/>
    <s v="Soporte"/>
    <n v="0"/>
  </r>
  <r>
    <n v="76"/>
    <x v="5"/>
    <s v="Mapa"/>
    <s v="MF-JH-0018"/>
    <s v="Soporte / Adryan Web / Compensación y Nómina / Cálculo de CTS, Utilidades, Vacaciones"/>
    <s v="Comunication Manager"/>
    <s v="Habilitación de interfaz de correos"/>
    <s v="Habilitar el envio de correos internos y/o externos"/>
    <s v="Técnica"/>
    <s v="Alta"/>
    <d v="2026-05-15T00:00:00"/>
    <d v="1899-12-30T00:00:00"/>
    <s v="TBD"/>
    <n v="0"/>
    <s v="Willy V"/>
    <b v="0"/>
    <x v="1"/>
    <s v="Soporte"/>
    <n v="0"/>
  </r>
  <r>
    <n v="77"/>
    <x v="5"/>
    <s v="Mapa"/>
    <s v="MF-JH-0019"/>
    <s v="Soporte / Adryan Web / Compensación y Nómina / Liquidación masiva de cesados"/>
    <s v="Comunication Manager"/>
    <s v="Habilitación de interfaz de correos"/>
    <s v="Habilitar el envio de correos internos y/o externos"/>
    <s v="Técnica"/>
    <s v="Alta"/>
    <d v="2026-05-15T00:00:00"/>
    <d v="1899-12-30T00:00:00"/>
    <s v="TBD"/>
    <n v="0"/>
    <s v="Willy V"/>
    <b v="0"/>
    <x v="1"/>
    <s v="Soporte"/>
    <n v="0"/>
  </r>
  <r>
    <n v="78"/>
    <x v="5"/>
    <s v="Mapa"/>
    <s v="MF-JH-0021"/>
    <s v="Soporte / Adryan Web / Compensación y Nómina / Envío de asientos a Bantotal (PLAME, T-Registro, INEI, SBS)"/>
    <s v="Comunication Manager"/>
    <s v="Habilitación de interfaz de correos"/>
    <s v="Habilitar el envio de correos internos y/o externos"/>
    <s v="Técnica"/>
    <s v="Alta"/>
    <d v="2026-05-15T00:00:00"/>
    <d v="1899-12-30T00:00:00"/>
    <s v="TBD"/>
    <n v="0"/>
    <s v="Willy V"/>
    <b v="0"/>
    <x v="1"/>
    <s v="Soporte"/>
    <n v="0"/>
  </r>
  <r>
    <n v="79"/>
    <x v="5"/>
    <s v="Mapa"/>
    <s v="MF-JH-0022"/>
    <s v="Soporte / Adryan Web / Gestión de Contratos / Módulo de Renovación de Contratos (20 modelos personalizados)"/>
    <s v="Comunication Manager"/>
    <s v="Habilitación de interfaz de correos"/>
    <s v="Habilitar el envio de correos internos y/o externos"/>
    <s v="Técnica"/>
    <s v="Alta"/>
    <d v="2026-05-15T00:00:00"/>
    <d v="1899-12-30T00:00:00"/>
    <s v="TBD"/>
    <n v="0"/>
    <s v="Willy V"/>
    <b v="0"/>
    <x v="1"/>
    <s v="Soporte"/>
    <n v="0"/>
  </r>
  <r>
    <n v="80"/>
    <x v="5"/>
    <s v="Mapa"/>
    <s v="MF-JH-0023"/>
    <s v="Soporte / Adryan Web / Documentos y Autoservicio / Módulo de Autoservicio (Boletas, CTS, Utilidades, Quinta, Certificados)"/>
    <s v="Comunication Manager"/>
    <s v="Habilitación de interfaz de correos"/>
    <s v="Habilitar el envio de correos internos y/o externos"/>
    <s v="Técnica"/>
    <s v="Alta"/>
    <d v="2026-05-15T00:00:00"/>
    <d v="1899-12-30T00:00:00"/>
    <s v="TBD"/>
    <n v="0"/>
    <s v="Willy V"/>
    <b v="0"/>
    <x v="1"/>
    <s v="Soporte"/>
    <n v="0"/>
  </r>
  <r>
    <n v="81"/>
    <x v="5"/>
    <s v="Mapa"/>
    <s v="MF-JH-0024"/>
    <s v="Soporte / Adryan Web / Documentos y Autoservicio / Módulo Generador de Reportes personalizados"/>
    <s v="Comunication Manager"/>
    <s v="Habilitación de interfaz de correos"/>
    <s v="Habilitar el envio de correos internos y/o externos"/>
    <s v="Técnica"/>
    <s v="Alta"/>
    <d v="2026-05-15T00:00:00"/>
    <d v="1899-12-30T00:00:00"/>
    <s v="TBD"/>
    <n v="0"/>
    <s v="Willy V"/>
    <b v="0"/>
    <x v="1"/>
    <s v="Soporte"/>
    <n v="0"/>
  </r>
  <r>
    <n v="82"/>
    <x v="5"/>
    <s v="Mapa"/>
    <s v="MF-JH-0001"/>
    <s v="Soporte / Adryan Web"/>
    <s v="Core"/>
    <s v="Definición de interfaces contables"/>
    <n v="0"/>
    <s v="Técnica"/>
    <s v="Alta"/>
    <d v="2026-05-15T00:00:00"/>
    <d v="1899-12-30T00:00:00"/>
    <d v="1899-12-30T00:00:00"/>
    <n v="0"/>
    <s v="Julio P."/>
    <b v="0"/>
    <x v="2"/>
    <s v="Soporte"/>
    <s v="Depende de sesiones con Prov.y Edwin P."/>
  </r>
  <r>
    <n v="83"/>
    <x v="5"/>
    <s v="Mapa"/>
    <s v="MF-JH-0027"/>
    <s v="Soporte / Monitor"/>
    <s v="Core "/>
    <s v="Proceso Batch"/>
    <s v="Generacion de interfaces ( cliente - producto - transsacciones)"/>
    <s v="Técnica"/>
    <s v="Baja"/>
    <d v="2026-04-15T00:00:00"/>
    <d v="1899-12-30T00:00:00"/>
    <s v="TBD"/>
    <n v="0"/>
    <s v="Julio P."/>
    <b v="1"/>
    <x v="2"/>
    <s v="Soporte"/>
    <n v="0"/>
  </r>
  <r>
    <n v="1"/>
    <x v="6"/>
    <n v="0"/>
    <n v="0"/>
    <s v="Data-Finanzas"/>
    <s v="Cards y Payments"/>
    <s v="Catálogo de Dominio"/>
    <s v="Maestro de equivalencias funcionales de los archivos administrativos proveídos por Izipay"/>
    <s v="Funcional"/>
    <s v="Alta"/>
    <d v="2026-03-15T00:00:00"/>
    <d v="1899-12-30T00:00:00"/>
    <d v="2026-03-31T00:00:00"/>
    <s v="Fredy C."/>
    <s v="Fredy C."/>
    <b v="1"/>
    <x v="3"/>
    <s v="Data-Finanzas"/>
    <n v="0"/>
  </r>
  <r>
    <n v="2"/>
    <x v="6"/>
    <n v="0"/>
    <n v="0"/>
    <s v="Data-Finanzas"/>
    <s v="Cards y Payments"/>
    <s v="Disponibilización de Data en Datalake"/>
    <s v="Se ejecuta proceso que envia todos los archivos adminstrativos desde SFTP de taerjetas hacia el Datalake (S3)"/>
    <s v="Técnica"/>
    <s v="Medio"/>
    <d v="2026-03-18T00:00:00"/>
    <d v="1899-12-30T00:00:00"/>
    <d v="2026-03-31T00:00:00"/>
    <s v="Julio P."/>
    <s v="Fredy C."/>
    <b v="1"/>
    <x v="3"/>
    <s v="Data-Finanzas"/>
    <n v="0"/>
  </r>
  <r>
    <n v="3"/>
    <x v="6"/>
    <n v="0"/>
    <n v="0"/>
    <s v="Data-Finanzas"/>
    <s v="Cards y Payments"/>
    <s v="Consultas técnicas MCP"/>
    <s v="Se consultará el mapeo entre los archivos administrativos y Tablas MCP"/>
    <s v="Técnica"/>
    <s v="Medio"/>
    <d v="2026-03-18T00:00:00"/>
    <d v="1899-12-30T00:00:00"/>
    <d v="2026-03-31T00:00:00"/>
    <s v="Sonia B."/>
    <s v="Fredy C."/>
    <b v="1"/>
    <x v="3"/>
    <s v="Data-Finanzas"/>
    <n v="0"/>
  </r>
  <r>
    <n v="4"/>
    <x v="6"/>
    <s v=" "/>
    <n v="0"/>
    <s v="Data-Finanzas"/>
    <s v="Core"/>
    <s v="Datos de Sistema de Originación"/>
    <s v="Brindar trama layout de datos y maestro de equivalencias funcionales"/>
    <s v="Técnica"/>
    <s v="Baja"/>
    <d v="2026-03-31T00:00:00"/>
    <d v="1899-12-30T00:00:00"/>
    <d v="1899-12-30T00:00:00"/>
    <s v="Sonia B."/>
    <s v="Julio P."/>
    <b v="1"/>
    <x v="1"/>
    <s v="Data-Finanzas"/>
    <n v="0"/>
  </r>
  <r>
    <n v="5"/>
    <x v="6"/>
    <s v=" "/>
    <n v="0"/>
    <s v="Data-Finanzas"/>
    <s v="Core"/>
    <s v="Datos de log de subcuentas"/>
    <s v="Brindar ejemplo de registro de tabla log de apertura de subcuentas de ahorro"/>
    <s v="Técnica"/>
    <s v="Alta"/>
    <d v="2026-03-16T00:00:00"/>
    <d v="1899-12-30T00:00:00"/>
    <d v="2026-03-16T00:00:00"/>
    <s v="Fredy C."/>
    <s v="Julio P."/>
    <b v="1"/>
    <x v="0"/>
    <s v="Data-Finanzas"/>
    <n v="0"/>
  </r>
  <r>
    <n v="6"/>
    <x v="6"/>
    <s v=" "/>
    <n v="0"/>
    <s v="Data-Finanzas"/>
    <s v="Core"/>
    <s v="Datos de seguro de préstamos"/>
    <s v="Brindar ejemplo de flujo de seguros obligatorios pagos en mas de una cuota"/>
    <s v="Técnica"/>
    <s v="Alta"/>
    <d v="2026-03-17T00:00:00"/>
    <d v="1899-12-30T00:00:00"/>
    <d v="2026-03-17T00:00:00"/>
    <s v="Sonia B."/>
    <s v="Julio P."/>
    <b v="1"/>
    <x v="3"/>
    <s v="Data-Finanzas"/>
    <n v="0"/>
  </r>
  <r>
    <n v="7"/>
    <x v="6"/>
    <s v=" "/>
    <n v="0"/>
    <s v="Data-Riesgos"/>
    <s v="Cards y Payments"/>
    <s v="Datos de Tarjetas  de credito , dias de mora  y transacciones ."/>
    <s v="Se requiere inforamcion de saldos . tartjetas dias de mora para recontrutir las tablas del MCP001 , MCP002 , MCP003 , MCP004 , MCP005"/>
    <s v="Técnica"/>
    <s v="Medio"/>
    <d v="2026-03-17T00:00:00"/>
    <d v="1899-12-30T00:00:00"/>
    <d v="1899-12-30T00:00:00"/>
    <s v="Julio P."/>
    <s v="Fredy C."/>
    <b v="1"/>
    <x v="3"/>
    <s v="Data-Riesgos"/>
    <n v="0"/>
  </r>
  <r>
    <n v="8"/>
    <x v="6"/>
    <n v="0"/>
    <n v="0"/>
    <s v="Data-I.C."/>
    <s v="Core"/>
    <s v="Modelo de datos del flujo completo de la venta"/>
    <s v="Se requiere información de los modelos de datos de solicitudes para la venta del módulo de teller."/>
    <s v="Técnica"/>
    <s v="Alta"/>
    <d v="2026-03-09T00:00:00"/>
    <d v="1899-12-30T00:00:00"/>
    <d v="1899-12-30T00:00:00"/>
    <n v="0"/>
    <s v="Julio P."/>
    <b v="1"/>
    <x v="3"/>
    <s v="Data-I.comercial"/>
    <n v="0"/>
  </r>
  <r>
    <n v="9"/>
    <x v="6"/>
    <n v="0"/>
    <n v="0"/>
    <s v="Data-Riesgos"/>
    <s v="Core"/>
    <s v="Flujo to be del proceso de Bases Negativas"/>
    <s v="Se requiere entender con el equipo de Core cual  sera el nuevo flujo de bases negaivas ya que el usuario responsable depende de ese proceso"/>
    <s v="Funcional"/>
    <s v="Alta"/>
    <d v="2026-02-02T00:00:00"/>
    <d v="1899-12-30T00:00:00"/>
    <d v="1899-12-30T00:00:00"/>
    <n v="0"/>
    <s v="Julio P."/>
    <b v="1"/>
    <x v="1"/>
    <s v="Data-Riesgos"/>
    <n v="0"/>
  </r>
  <r>
    <n v="10"/>
    <x v="6"/>
    <n v="0"/>
    <n v="0"/>
    <s v="Data-Finanzas"/>
    <s v="Core"/>
    <s v="Información de seguros optativos"/>
    <s v="Brindar información de seguros optativos con la información _x000a_de las primas pagas asi como las tablas de configuracion."/>
    <s v="Técnica"/>
    <s v="Media"/>
    <d v="2026-03-28T00:00:00"/>
    <d v="1899-12-30T00:00:00"/>
    <d v="2026-04-30T00:00:00"/>
    <n v="0"/>
    <s v="Julio P."/>
    <b v="1"/>
    <x v="3"/>
    <s v="Data-Finanzas"/>
    <n v="0"/>
  </r>
  <r>
    <n v="11"/>
    <x v="6"/>
    <n v="0"/>
    <n v="0"/>
    <s v="Data-Finanzas"/>
    <s v="Core"/>
    <s v="Información de castigados"/>
    <s v="Brindar la información necesaria para almacenar el nuevo _x000a_universo de castigados, con el fin de reemplazar tabla de trabajo _x000a_LD0D12. "/>
    <s v="Técnica"/>
    <s v="Media"/>
    <d v="2026-04-24T00:00:00"/>
    <d v="1899-12-30T00:00:00"/>
    <d v="2026-06-30T00:00:00"/>
    <n v="0"/>
    <s v="Julio P."/>
    <b v="1"/>
    <x v="1"/>
    <s v="Data-Finanzas"/>
    <n v="0"/>
  </r>
  <r>
    <n v="12"/>
    <x v="6"/>
    <n v="0"/>
    <n v="0"/>
    <s v="Data-Finanzas"/>
    <s v="Core"/>
    <s v="Información de refinanciados"/>
    <s v="Brindar la información necesaria para almacenar el nuevo _x000a_universo de castigados, con el fin de reemplazar tabla de trabajo _x000a_LRFD02."/>
    <s v="Técnica"/>
    <s v="Media"/>
    <d v="2026-04-24T00:00:00"/>
    <d v="1899-12-30T00:00:00"/>
    <d v="2026-06-30T00:00:00"/>
    <n v="0"/>
    <s v="Julio P."/>
    <b v="1"/>
    <x v="1"/>
    <s v="Data-Finanzas"/>
    <n v="0"/>
  </r>
  <r>
    <m/>
    <x v="7"/>
    <m/>
    <m/>
    <m/>
    <m/>
    <m/>
    <m/>
    <m/>
    <m/>
    <m/>
    <m/>
    <m/>
    <m/>
    <m/>
    <m/>
    <x v="4"/>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
  <r>
    <n v="1"/>
    <s v="Migracion de datos"/>
    <s v="Plan de tranferencia"/>
    <m/>
    <s v="Migración de datos"/>
    <s v="Core"/>
    <s v="Definición de archivos Core históricos  a migrar "/>
    <s v="Se requiere confirmar: _x000a_1) Desde que año se transferirá la información. _x000a_2) Para cada uno de los años, si se transferirán archivos en formato mensual o anual_x000a_3) Si para el pase a producción, se debe de haber transferido algunos periodos de información, por temas regulatorios."/>
    <s v="Técnica"/>
    <s v="Medio"/>
    <d v="2026-03-20T00:00:00"/>
    <m/>
    <m/>
    <m/>
    <s v="Julio P."/>
    <b v="1"/>
    <x v="0"/>
    <s v="Migración"/>
    <m/>
    <s v="S"/>
  </r>
  <r>
    <n v="2"/>
    <s v="Migracion de datos"/>
    <s v="Plan de tranferencia"/>
    <m/>
    <s v="Migración de datos"/>
    <s v="Core"/>
    <s v="Definición de canal de transferencia de archivos Core históricos "/>
    <s v="Se requiere confirmar si la transferencia se realizará a través del canal de transferencia definido para datos (Sterling), o por otro canal."/>
    <s v="Técnica"/>
    <s v="Medio"/>
    <d v="2026-04-30T00:00:00"/>
    <m/>
    <d v="2026-02-23T00:00:00"/>
    <s v="Julio P."/>
    <s v="Julio P."/>
    <b v="1"/>
    <x v="1"/>
    <s v="Migración"/>
    <m/>
    <s v="S"/>
  </r>
  <r>
    <n v="3"/>
    <s v="Migracion de datos"/>
    <s v="Req datos"/>
    <m/>
    <s v="Migración de datos"/>
    <s v="Cards y Payments"/>
    <s v="Identificación de requerimientos de datos BanTotal - Cards"/>
    <s v="Se requiere identificar la data necesaria para la operación de las aplicaciones en desarrollo, para el caso de tablas Bantotal u otras."/>
    <s v="Técnica"/>
    <s v="Medio"/>
    <d v="2026-03-31T00:00:00"/>
    <d v="2026-04-17T00:00:00"/>
    <d v="2026-04-17T00:00:00"/>
    <m/>
    <s v="Fredy C."/>
    <b v="1"/>
    <x v="1"/>
    <s v="Migración"/>
    <m/>
    <s v="S"/>
  </r>
  <r>
    <n v="4"/>
    <s v="Migracion de datos"/>
    <s v="Diagrama"/>
    <m/>
    <s v="Migración de datos"/>
    <s v="Canales Digitales"/>
    <s v="Diagrama de Migración - Canales Digitales"/>
    <s v="Se requiere contar con el diagrama que incluye el flujo de datos para la migración hacia las aplicaciones, indicando los componentes que intervienen en la migración."/>
    <s v="Técnica"/>
    <s v="Medio"/>
    <d v="2026-10-04T00:00:00"/>
    <m/>
    <m/>
    <m/>
    <s v="Henry J."/>
    <b v="0"/>
    <x v="1"/>
    <s v="Migración"/>
    <m/>
    <s v="N"/>
  </r>
  <r>
    <n v="5"/>
    <s v="Migracion de datos"/>
    <s v="Plan de tranferencia"/>
    <m/>
    <s v="Migración de datos"/>
    <s v="Canales Digitales"/>
    <s v="Definición de estrategia de migración de datos - Canales Digitales"/>
    <s v="Se requiere establecer la estrategia de migración de datos para las aplicaciones."/>
    <s v="Técnica"/>
    <s v="Medio"/>
    <d v="2026-10-04T00:00:00"/>
    <m/>
    <m/>
    <m/>
    <s v="Henry J."/>
    <b v="0"/>
    <x v="0"/>
    <s v="Migración"/>
    <m/>
    <s v="N"/>
  </r>
  <r>
    <n v="6"/>
    <s v="Migracion de datos"/>
    <s v="Req datos"/>
    <m/>
    <s v="Migración de datos"/>
    <s v="Cyber &amp; Fraud"/>
    <s v="Identificación de requerimientos de datos BanTotal - Cyber &amp; Fraud"/>
    <s v="Se requiere identificar la data necesaria para la operación de las aplicaciones, para el caso de tablas Bantotal u otras."/>
    <s v="Técnica"/>
    <s v="Medio"/>
    <d v="2026-03-31T00:00:00"/>
    <m/>
    <m/>
    <m/>
    <s v="Cesar V."/>
    <b v="1"/>
    <x v="0"/>
    <s v="Migración"/>
    <m/>
    <s v="S"/>
  </r>
  <r>
    <n v="7"/>
    <s v="Migracion de datos"/>
    <s v="Req datos"/>
    <m/>
    <s v="Migración de datos"/>
    <s v="Canales Asistidos"/>
    <s v="Identificación de requerimientos de datos BanTotal - Cyberfinancial"/>
    <s v="Se requiere identificar la data necesaria para la operación de las aplicaciones en desarrollo, en caso de requerirse tablas Bantotal u otras._x000a_Confirmar las tablas que necesitarán."/>
    <s v="Técnica"/>
    <s v="Medio"/>
    <d v="2026-03-31T00:00:00"/>
    <m/>
    <m/>
    <m/>
    <s v="Sonia B."/>
    <b v="1"/>
    <x v="0"/>
    <s v="Migración"/>
    <m/>
    <s v="S"/>
  </r>
  <r>
    <n v="8"/>
    <s v="Migracion de datos"/>
    <s v="Plan de tranferencia"/>
    <m/>
    <s v="Migración de datos"/>
    <s v="Datos"/>
    <s v="Confirmación de BD analíticas y file servers de usuarios - Inteligencia Comercial"/>
    <s v="Se requiere validar el listado general de bases de datos y file servers que está en el compartido"/>
    <s v="Técnica"/>
    <s v="Medio"/>
    <d v="2026-04-15T00:00:00"/>
    <m/>
    <m/>
    <m/>
    <s v="Jean A."/>
    <b v="1"/>
    <x v="1"/>
    <s v="Migración"/>
    <m/>
    <s v="S"/>
  </r>
  <r>
    <n v="9"/>
    <s v="Migracion de datos"/>
    <s v="Plan de tranferencia"/>
    <m/>
    <s v="Migración de datos"/>
    <s v="Datos"/>
    <s v="Confirmación de BD analíticas y file servers de usuarios - Riesgos y otros"/>
    <s v="Se requiere validar el listado general de bases de datos y file servers que está en el compartido"/>
    <s v="Técnica"/>
    <s v="Medio"/>
    <d v="2026-04-15T00:00:00"/>
    <m/>
    <m/>
    <m/>
    <s v="Jean A."/>
    <b v="1"/>
    <x v="1"/>
    <s v="Migración"/>
    <m/>
    <s v="S"/>
  </r>
  <r>
    <n v="10"/>
    <s v="Migracion de datos"/>
    <s v="Plan de tranferencia"/>
    <m/>
    <s v="Migración de datos"/>
    <s v="Datos"/>
    <s v="Confirmación de BD analíticas y file servers de usuarios - Finanzas"/>
    <s v="Se requiere validar el listado general de bases de datos y file servers que está en el compartido"/>
    <s v="Técnica"/>
    <s v="Medio"/>
    <d v="2026-04-15T00:00:00"/>
    <m/>
    <m/>
    <m/>
    <s v="Jean A."/>
    <b v="1"/>
    <x v="1"/>
    <s v="Migración"/>
    <m/>
    <s v="S"/>
  </r>
  <r>
    <n v="11"/>
    <s v="Migracion de datos"/>
    <s v="Req datos"/>
    <m/>
    <s v="Migración de datos"/>
    <s v="Aplicaciones de Soporte"/>
    <s v="Identificación de requerimientos de datos Bantotal - Aplicaciones de Soporte"/>
    <s v="Se requiere identificar la data necesaria para la operación de las aplicaciones en desarrollo, en caso de requerirse tablas Bantotal u otras."/>
    <s v="Técnica"/>
    <s v="Medio"/>
    <d v="2026-03-31T00:00:00"/>
    <m/>
    <m/>
    <m/>
    <s v="Jaime H."/>
    <b v="1"/>
    <x v="0"/>
    <s v="Migración"/>
    <m/>
    <s v="S"/>
  </r>
  <r>
    <n v="12"/>
    <s v="Migracion de datos"/>
    <s v="Plan de tranferencia"/>
    <m/>
    <s v="Migración de datos"/>
    <s v="Core"/>
    <s v="Definición de estrategia de migración de datos Online- Core"/>
    <s v="Se requiere establecer la estrategia de migración de los archivos txt Online en estructura de paquetes:_x000a_1. Paquete 1 contiene las tablas : ..._x000a_2. Se considera en los paquetes tabals que otras aplicaciones van a rerquerir? seguros, cards, aml, cyber, etc."/>
    <s v="Técnica"/>
    <s v="Medio"/>
    <d v="2026-02-28T00:00:00"/>
    <m/>
    <m/>
    <m/>
    <s v="Julio P."/>
    <b v="1"/>
    <x v="0"/>
    <s v="Migración"/>
    <m/>
    <s v="S"/>
  </r>
  <r>
    <n v="13"/>
    <s v="Migracion de datos"/>
    <s v="Req datos"/>
    <m/>
    <s v="Migración de datos"/>
    <s v="Core"/>
    <s v="Revisión de tablas principales y campos sumatorios para validación"/>
    <s v="Validar el listado de tablas principales para las aplicaciones AS400, así como proponer los campos sumatorios para validación."/>
    <s v="Técnica"/>
    <s v="Medio"/>
    <d v="2026-03-31T00:00:00"/>
    <m/>
    <m/>
    <m/>
    <s v="Julio P."/>
    <b v="1"/>
    <x v="0"/>
    <s v="Migración"/>
    <m/>
    <s v="S"/>
  </r>
  <r>
    <n v="14"/>
    <s v="Migracion de datos"/>
    <s v="Diagrama"/>
    <m/>
    <s v="Migración de datos"/>
    <s v="Core"/>
    <s v="Diagrama de Migración - Core"/>
    <s v="Se requiere elaborar el diagrama de migración, indicando el flujo de la data, para el caso Online e histórico."/>
    <s v="Técnica"/>
    <s v="Medio"/>
    <d v="2026-03-20T00:00:00"/>
    <m/>
    <m/>
    <m/>
    <s v="Julio P."/>
    <b v="1"/>
    <x v="0"/>
    <s v="Migración"/>
    <m/>
    <s v="S"/>
  </r>
  <r>
    <n v="15"/>
    <s v="Migracion de datos"/>
    <s v="Diagrama"/>
    <m/>
    <s v="Migración de datos"/>
    <s v="Canales Asistidos"/>
    <s v="Diagrama de Migración - Canales Asistidos"/>
    <s v="Se requiere actualizar el diagrama que incluye el flujo de datos para la migración hacia las aplicaciones, indicando los servidores al que se transferirá la data. Mesa de Concesiones"/>
    <s v="Técnica"/>
    <s v="Medio"/>
    <d v="2026-03-31T00:00:00"/>
    <m/>
    <d v="2026-04-17T00:00:00"/>
    <m/>
    <s v="Sonia B."/>
    <b v="1"/>
    <x v="1"/>
    <s v="Migración"/>
    <m/>
    <s v="S"/>
  </r>
  <r>
    <n v="16"/>
    <s v="Migracion de datos"/>
    <s v="Plan de tranferencia"/>
    <m/>
    <s v="Migración de datos"/>
    <s v="Canales Asistidos"/>
    <s v="Estrategia de migración de datos - Cyberfinancial"/>
    <s v="Se requiere establecer la estrategia de migración de datos para las aplicaciones."/>
    <s v="Técnica"/>
    <s v="Medio"/>
    <d v="2026-04-10T00:00:00"/>
    <m/>
    <m/>
    <m/>
    <s v="Sonia B."/>
    <b v="1"/>
    <x v="0"/>
    <s v="Migración"/>
    <m/>
    <s v="S"/>
  </r>
  <r>
    <n v="17"/>
    <s v="Migracion de datos"/>
    <s v="Diagrama"/>
    <m/>
    <s v="Migración de datos"/>
    <s v="Procesos"/>
    <s v="Diagrama de Migración - Procesos"/>
    <s v="Se requiere actualizar el diagrama que incluye el flujo de datos para la migración hacia las aplicaciones, indicando los servidores al que se transferirá la data."/>
    <s v="Técnica"/>
    <s v="Medio"/>
    <d v="2026-02-28T00:00:00"/>
    <m/>
    <d v="2026-09-02T00:00:00"/>
    <m/>
    <s v="Sonia B."/>
    <b v="1"/>
    <x v="0"/>
    <s v="Migración"/>
    <m/>
    <s v="S"/>
  </r>
  <r>
    <n v="18"/>
    <s v="Migracion de datos"/>
    <s v="Plan de tranferencia"/>
    <m/>
    <s v="Migración de datos"/>
    <s v="Procesos"/>
    <s v="Definición de estrategia de migración de datos - Procesos"/>
    <s v="Se requiere establecer la estrategia de migración de datos para las aplicaciones."/>
    <s v="Técnica"/>
    <s v="Medio"/>
    <d v="2026-03-20T00:00:00"/>
    <m/>
    <m/>
    <m/>
    <s v="Sonia B."/>
    <b v="1"/>
    <x v="0"/>
    <s v="Migración"/>
    <m/>
    <s v="S"/>
  </r>
  <r>
    <n v="19"/>
    <s v="Migracion de datos"/>
    <s v="Diagrama"/>
    <m/>
    <s v="Migración de datos"/>
    <s v="Cards y Payments"/>
    <s v="Diagrama de Migración - Cards"/>
    <s v="Se requiere establecer la estrategia de migración de datos para las aplicaciones."/>
    <s v="Técnica"/>
    <s v="Medio"/>
    <d v="2026-03-31T00:00:00"/>
    <m/>
    <d v="2026-04-17T00:00:00"/>
    <m/>
    <s v="Fredy C."/>
    <b v="1"/>
    <x v="1"/>
    <s v="Migración"/>
    <m/>
    <s v="S"/>
  </r>
  <r>
    <n v="20"/>
    <s v="Migracion de datos"/>
    <s v="Plan de tranferencia"/>
    <m/>
    <s v="Migración de datos"/>
    <s v="Procesos"/>
    <s v="Definición de estrategia de migración de archivos OnDemand"/>
    <s v="Se requiere establecer la estrategia de migración para los archivos."/>
    <s v="Técnica"/>
    <s v="Medio"/>
    <d v="2026-03-20T00:00:00"/>
    <d v="2026-04-30T00:00:00"/>
    <d v="2026-04-30T00:00:00"/>
    <m/>
    <s v="Sonia B."/>
    <b v="1"/>
    <x v="0"/>
    <s v="Migración"/>
    <m/>
    <s v="S"/>
  </r>
  <r>
    <n v="21"/>
    <s v="Migracion de datos"/>
    <s v="Diagrama"/>
    <m/>
    <s v="Migración de datos"/>
    <s v="Aplicaciones de Soporte"/>
    <s v="Diagrama de Migración - Aplicaciones de soporte"/>
    <s v="Se requiere contar con el diagrama que incluye el flujo de datos para la migración hacia las aplicaciones, indicando los servidores al que se transferirá la data."/>
    <s v="Técnica"/>
    <s v="Medio"/>
    <d v="2026-03-31T00:00:00"/>
    <m/>
    <d v="2026-04-30T00:00:00"/>
    <m/>
    <s v="Jaime H."/>
    <b v="1"/>
    <x v="0"/>
    <s v="Migración"/>
    <m/>
    <s v="S"/>
  </r>
  <r>
    <n v="22"/>
    <s v="Migracion de datos"/>
    <s v="Plan de tranferencia"/>
    <m/>
    <s v="Migración de datos"/>
    <s v="Aplicaciones de Soporte"/>
    <s v="Definición de estrategia de migración de datos - Aplicaciones de soporte"/>
    <s v="Se requiere establecer la estrategia de migración de datos para las aplicaciones."/>
    <s v="Técnica"/>
    <s v="Medio"/>
    <d v="2026-03-31T00:00:00"/>
    <m/>
    <m/>
    <m/>
    <s v="Jaime H."/>
    <b v="1"/>
    <x v="0"/>
    <s v="Migración"/>
    <m/>
    <s v="S"/>
  </r>
  <r>
    <n v="23"/>
    <s v="Migracion de datos"/>
    <s v="Req datos"/>
    <m/>
    <s v="Migración de datos"/>
    <s v="Core"/>
    <s v="Identificación de requerimientos de datos BanTotal - SSM (Seguros)"/>
    <s v="Se requiere identificar la data necesaria para la operación de las aplicaciones en desarrollo, en caso de requerirse tablas Bantotal u otras._x000a_Solicitado a Luis Huaman por correo."/>
    <s v="Técnica"/>
    <s v="Medio"/>
    <d v="2026-04-30T00:00:00"/>
    <m/>
    <m/>
    <m/>
    <s v="Julio P."/>
    <b v="1"/>
    <x v="0"/>
    <s v="Migración"/>
    <m/>
    <s v="S"/>
  </r>
  <r>
    <n v="24"/>
    <s v="Migracion de datos"/>
    <s v="Diagrama"/>
    <m/>
    <s v="Migración de datos"/>
    <s v="Core"/>
    <s v="Diagrama de Migración -  SSM (Seguros)"/>
    <s v="Se requiere contar con el diagrama que incluye el flujo de datos para la migración hacia las aplicaciones, indicando los servidores al que se transferirá la data."/>
    <s v="Técnica"/>
    <s v="Medio"/>
    <d v="2026-04-30T00:00:00"/>
    <m/>
    <d v="2026-04-30T00:00:00"/>
    <m/>
    <s v="Julio P."/>
    <b v="1"/>
    <x v="1"/>
    <s v="Migración"/>
    <m/>
    <s v="S"/>
  </r>
  <r>
    <n v="25"/>
    <s v="Migracion de datos"/>
    <s v="Plan de tranferencia"/>
    <m/>
    <s v="Migración de datos"/>
    <s v="Core"/>
    <s v="Definición de estrategia de migración de datos -  SSM (Seguros)"/>
    <s v="Se requiere establecer la estrategia de migración de datos para las aplicaciones."/>
    <s v="Técnica"/>
    <s v="Medio"/>
    <d v="2026-03-31T00:00:00"/>
    <m/>
    <m/>
    <m/>
    <s v="Julio P."/>
    <b v="1"/>
    <x v="0"/>
    <s v="Migración"/>
    <m/>
    <s v="S"/>
  </r>
  <r>
    <n v="26"/>
    <s v="Migracion de datos"/>
    <s v="Req datos"/>
    <m/>
    <s v="Migración de datos"/>
    <s v="Datos"/>
    <s v="Identificación de tablas prioritarias - Inteligencia Comercial"/>
    <s v="Se requiere llenar el formato incluyendo las tablas que forman parte del proceso"/>
    <s v="Técnica"/>
    <s v="Medio"/>
    <d v="2026-04-15T00:00:00"/>
    <d v="2026-04-30T00:00:00"/>
    <m/>
    <m/>
    <s v="Jean A."/>
    <b v="1"/>
    <x v="1"/>
    <s v="Migración"/>
    <m/>
    <s v="S"/>
  </r>
  <r>
    <n v="27"/>
    <s v="Migracion de datos"/>
    <s v="Req datos"/>
    <m/>
    <s v="Migración de datos"/>
    <s v="Canales Digitales"/>
    <s v="Identificación de requerimientos de datos BanTotal - Canales Digitales"/>
    <s v="Se requiere identificar la data necesaria para la operación de las aplicaciones en desarrollo, en caso de requerirse tablas Bantotal u otras._x000a_Soliciatado a Arnold por correo"/>
    <s v="Técnica"/>
    <s v="Medio"/>
    <d v="2026-10-04T00:00:00"/>
    <m/>
    <m/>
    <m/>
    <s v="Henry J."/>
    <b v="0"/>
    <x v="0"/>
    <s v="Migración"/>
    <m/>
    <s v="N"/>
  </r>
  <r>
    <n v="28"/>
    <s v="Migracion de datos"/>
    <s v="Diagrama"/>
    <m/>
    <s v="Migración de datos"/>
    <s v="Cyber &amp; Fraud"/>
    <s v="Diagrama de Migración  - Cyber &amp; Fraud"/>
    <s v="Se requiere identificar si como parte de la data necesaria para la operación de las aplicaciones, se requieren tablas Bantotal u otras desde el SBP."/>
    <s v="Técnica"/>
    <s v="Medio"/>
    <d v="2026-04-30T00:00:00"/>
    <m/>
    <d v="2026-04-30T00:00:00"/>
    <m/>
    <s v="Cesar V."/>
    <b v="1"/>
    <x v="1"/>
    <s v="Migración"/>
    <m/>
    <s v="S"/>
  </r>
  <r>
    <n v="29"/>
    <s v="Migracion de datos"/>
    <s v="Req datos"/>
    <m/>
    <s v="Migración de datos"/>
    <s v="Datos"/>
    <s v="Identificación de tablas prioritarias - Riesgos"/>
    <s v="Se requiere llenar el formato incluyendo las tablas que forman parte del proceso"/>
    <s v="Técnica"/>
    <s v="Medio"/>
    <d v="2026-04-15T00:00:00"/>
    <d v="2026-04-30T00:00:00"/>
    <m/>
    <m/>
    <s v="Jean A."/>
    <b v="1"/>
    <x v="1"/>
    <s v="Migración"/>
    <m/>
    <s v="S"/>
  </r>
  <r>
    <n v="30"/>
    <s v="Migracion de datos"/>
    <s v="Req datos"/>
    <m/>
    <s v="Migración de datos"/>
    <s v="Datos"/>
    <s v="Identificación de tablas prioritarias - Finanzas"/>
    <s v="Se requiere llenar el formato incluyendo las tablas que forman parte del proceso"/>
    <s v="Técnica"/>
    <s v="Medio"/>
    <d v="2026-04-15T00:00:00"/>
    <d v="2026-04-30T00:00:00"/>
    <m/>
    <m/>
    <s v="Jean A."/>
    <b v="1"/>
    <x v="1"/>
    <s v="Migración"/>
    <m/>
    <s v="S"/>
  </r>
  <r>
    <n v="31"/>
    <s v="Migracion de datos"/>
    <s v="Plan de tranferencia"/>
    <m/>
    <s v="Migración de datos"/>
    <s v="Cards y Payments"/>
    <s v="Definición de estrategia de migración de datos - Reportes de interoperabilidad históricos"/>
    <s v="Se requiere establecer la estrategia de migración de los archivos históricos."/>
    <s v="Técnica"/>
    <s v="Medio"/>
    <d v="2026-03-31T00:00:00"/>
    <m/>
    <m/>
    <m/>
    <s v="Fredy C."/>
    <b v="1"/>
    <x v="0"/>
    <s v="Migración"/>
    <m/>
    <s v="S"/>
  </r>
  <r>
    <n v="32"/>
    <s v="Migracion de datos"/>
    <s v="Plan de tranferencia"/>
    <m/>
    <s v="Migración de datos"/>
    <s v="Canales Asistidos"/>
    <s v="Estrategia de Migración - Archivos de audio IVR"/>
    <s v="Se requiere establecer la estrategia de migración de los archivos históricos."/>
    <s v="Técnica"/>
    <s v="Medio"/>
    <d v="2026-03-31T00:00:00"/>
    <m/>
    <m/>
    <m/>
    <s v="Sonia B."/>
    <b v="1"/>
    <x v="0"/>
    <s v="Migración"/>
    <m/>
    <s v="S"/>
  </r>
  <r>
    <n v="33"/>
    <s v="Migracion de datos"/>
    <s v="Req datos"/>
    <m/>
    <s v="Migración de datos"/>
    <s v="Procesos"/>
    <s v="Identificación de requerimientos de datos BanTotal - Procesos"/>
    <s v="Se requiere identificar la data necesaria para la operación de las aplicaciones en desarrollo, en caso de requerirse tablas Bantotal u otras."/>
    <s v="Técnica"/>
    <s v="Medio"/>
    <d v="2026-04-30T00:00:00"/>
    <m/>
    <m/>
    <m/>
    <s v="Sonia B."/>
    <b v="1"/>
    <x v="0"/>
    <s v="Migración"/>
    <m/>
    <s v="S"/>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s v="Cascada"/>
    <m/>
    <s v="Integración"/>
    <s v="Bantotal"/>
    <s v="Ejecución OT Bantotal PI1"/>
    <s v="SC1274 - Integraciones ODS - Servicios de Contact Points: campos adicionales"/>
    <s v="Técnica"/>
    <s v="Medio"/>
    <m/>
    <m/>
    <m/>
    <m/>
    <s v="Carol Carbajal"/>
    <b v="1"/>
    <x v="0"/>
    <s v="Integración"/>
    <m/>
    <s v="N"/>
  </r>
  <r>
    <s v="Cascada"/>
    <m/>
    <s v="Integración"/>
    <s v="Bantotal"/>
    <s v="Ejecución OT Bantotal PI1"/>
    <s v="SC1301 - Integraciones - Agregar CCI a Servicio de CuentasAsociadas a Tarjeta de Débito"/>
    <s v="Técnica"/>
    <s v="Medio"/>
    <m/>
    <m/>
    <m/>
    <m/>
    <s v="Carol Carbajal"/>
    <b v="1"/>
    <x v="0"/>
    <s v="Integración"/>
    <m/>
    <s v="N"/>
  </r>
  <r>
    <s v="Cascada"/>
    <m/>
    <s v="Integración"/>
    <s v="Bantotal"/>
    <s v="Ejecución OT Bantotal PI1"/>
    <s v="SC1328 - Fusionar servicios de obtener datos del usuario y obtener detalle de sucursal"/>
    <s v="Técnica"/>
    <s v="Medio"/>
    <m/>
    <m/>
    <m/>
    <m/>
    <s v="Carol Carbajal"/>
    <b v="1"/>
    <x v="0"/>
    <s v="Integración"/>
    <m/>
    <s v="N"/>
  </r>
  <r>
    <s v="Cascada"/>
    <m/>
    <s v="Integración"/>
    <s v="Bantotal"/>
    <s v="Ejecución OT Bantotal PI1"/>
    <s v="SC1311 - Integraciones - Formato del Campo idOperacionfmt"/>
    <s v="Técnica"/>
    <s v="Medio"/>
    <m/>
    <m/>
    <m/>
    <m/>
    <s v="Carol Carbajal"/>
    <b v="1"/>
    <x v="0"/>
    <s v="Integración"/>
    <m/>
    <s v="N"/>
  </r>
  <r>
    <s v="Cascada"/>
    <m/>
    <s v="Integración"/>
    <s v="Bantotal"/>
    <s v="Ejecución OT Bantotal PI1"/>
    <s v="SC1331 - BT SCTarjetaDebito.ObtenerTarjetasDebitoPorCliente, devolver las tarjetas adicionales"/>
    <s v="Técnica"/>
    <s v="Medio"/>
    <m/>
    <m/>
    <m/>
    <m/>
    <s v="Carol Carbajal"/>
    <b v="1"/>
    <x v="0"/>
    <s v="Integración"/>
    <m/>
    <s v="N"/>
  </r>
  <r>
    <s v="Cascada"/>
    <m/>
    <s v="Integración"/>
    <s v="Bantotal"/>
    <s v="Ejecución OT Bantotal PI1"/>
    <s v="SC1354 - Modificar estado de cuenta: mostrar movimientos anulados y marca de cual anulado y cual no"/>
    <s v="Técnica"/>
    <s v="Medio"/>
    <d v="2026-03-17T00:00:00"/>
    <m/>
    <d v="2026-03-17T00:00:00"/>
    <m/>
    <s v="Carol Carbajal"/>
    <b v="1"/>
    <x v="0"/>
    <s v="Integración"/>
    <m/>
    <s v="S"/>
  </r>
  <r>
    <s v="Cascada"/>
    <m/>
    <s v="Integración"/>
    <s v="Bantotal"/>
    <s v="Ejecución OT Bantotal PI2"/>
    <s v="SC1354 - Modificar API BTDepositosAPlazo.ObtenerDatos"/>
    <s v="Técnica"/>
    <s v="Medio"/>
    <d v="2026-03-20T00:00:00"/>
    <m/>
    <d v="2026-03-20T00:00:00"/>
    <m/>
    <s v="Carol Carbajal"/>
    <b v="1"/>
    <x v="0"/>
    <s v="Integración"/>
    <m/>
    <s v="S"/>
  </r>
  <r>
    <s v="Cascada"/>
    <m/>
    <s v="Integración"/>
    <s v="Bantotal"/>
    <s v="Ejecución OT Bantotal PI2"/>
    <s v="SC1354 - D1-078 Nueva API copia del servicio BTPrestamos.ObtenerDetalle, el 13/03 se entrega mockups"/>
    <s v="Técnica"/>
    <s v="Medio"/>
    <d v="2026-03-17T00:00:00"/>
    <m/>
    <d v="2026-03-17T00:00:00"/>
    <m/>
    <s v="Carol Carbajal"/>
    <b v="1"/>
    <x v="0"/>
    <s v="Integración"/>
    <m/>
    <s v="S"/>
  </r>
  <r>
    <s v="Cascada"/>
    <m/>
    <s v="Integración"/>
    <s v="Bantotal"/>
    <s v="Ejecución OT Bantotal PI2"/>
    <s v="SC1354 - D1-169  Nueva API para devolver datos del producto, el 13/03 se entrega mockups"/>
    <s v="Técnica"/>
    <s v="Medio"/>
    <d v="2026-03-20T00:00:00"/>
    <m/>
    <d v="2026-03-20T00:00:00"/>
    <m/>
    <s v="Carol Carbajal"/>
    <b v="1"/>
    <x v="0"/>
    <s v="Integración"/>
    <m/>
    <s v="S"/>
  </r>
  <r>
    <s v="Cascada"/>
    <m/>
    <s v="Integración"/>
    <s v="Bantotal"/>
    <s v="Ejecución OT Bantotal PI2"/>
    <s v="SC1354 - D1-081 Nueva API  copia del servicio BTPrestamos.ObtenerCronograma, el 13/03 se entrega mockups"/>
    <s v="Técnica"/>
    <s v="Medio"/>
    <d v="2026-03-26T00:00:00"/>
    <m/>
    <d v="2026-03-26T00:00:00"/>
    <m/>
    <s v="Carol Carbajal"/>
    <b v="1"/>
    <x v="0"/>
    <s v="Integración"/>
    <m/>
    <s v="S"/>
  </r>
  <r>
    <s v="Cascada"/>
    <m/>
    <s v="Integración"/>
    <s v="Bantotal"/>
    <s v="Ejecución OT Bantotal PI2"/>
    <s v="SC1357 - Ajustes al servicio de  Puntos de contacto para agregarle campos"/>
    <s v="Técnica"/>
    <s v="Medio"/>
    <d v="2026-03-19T00:00:00"/>
    <m/>
    <d v="2026-03-19T00:00:00"/>
    <m/>
    <s v="Carol Carbajal"/>
    <b v="1"/>
    <x v="0"/>
    <s v="Integración"/>
    <m/>
    <s v="S"/>
  </r>
  <r>
    <s v="Cascada"/>
    <m/>
    <s v="Integración"/>
    <s v="Canal Digital"/>
    <s v="Definición PI3 Canales Digitales"/>
    <s v="Se necesita el mapeo de funcionalidades con endpoints de APIs globales para canales digitales Onboarding"/>
    <s v="Funcional"/>
    <s v="Alta"/>
    <d v="2026-03-31T00:00:00"/>
    <m/>
    <d v="2026-03-31T00:00:00"/>
    <m/>
    <s v="Henry"/>
    <b v="1"/>
    <x v="0"/>
    <s v="Integración"/>
    <m/>
    <s v="S"/>
  </r>
  <r>
    <s v="Cascada"/>
    <m/>
    <s v="Integración"/>
    <s v="Canal Digital"/>
    <s v="Definición PI3 Canales Digitales"/>
    <s v="Se necesita el mapeo de funcionalidades con endpoints de APIs globales para canales digitales Sin contracting"/>
    <s v="Funcional"/>
    <s v="Alta"/>
    <d v="2026-03-31T00:00:00"/>
    <m/>
    <d v="2026-04-15T00:00:00"/>
    <m/>
    <s v="Henry"/>
    <b v="1"/>
    <x v="1"/>
    <s v="Integración"/>
    <m/>
    <s v="S"/>
  </r>
  <r>
    <s v="Cascada"/>
    <m/>
    <s v="Integración"/>
    <s v="Canal Digital"/>
    <s v="Definición PI3 Canales Digitales"/>
    <s v="Se necesita el mapeo de funcionalidades con endpoints de APIs globales para canales digitales Contracting"/>
    <s v="Funcional"/>
    <s v="Alta"/>
    <d v="2026-03-31T00:00:00"/>
    <m/>
    <d v="2026-05-29T00:00:00"/>
    <m/>
    <s v="Henry"/>
    <b v="1"/>
    <x v="1"/>
    <s v="Integración"/>
    <m/>
    <s v="S"/>
  </r>
  <r>
    <s v="Cascada"/>
    <m/>
    <s v="Integración"/>
    <s v="Canal Asistido"/>
    <s v="Definición PI3 Canales Asistidos"/>
    <s v="Se necesita el mapeo de funcionalidades con endpoints de APIs globales para canales asistidos"/>
    <s v="Funcional"/>
    <s v="Alta"/>
    <d v="2026-03-31T00:00:00"/>
    <m/>
    <d v="2026-04-15T00:00:00"/>
    <m/>
    <s v="Sonia"/>
    <b v="1"/>
    <x v="1"/>
    <s v="Integración"/>
    <m/>
    <s v="S"/>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n v="1"/>
    <s v="Data"/>
    <m/>
    <m/>
    <s v="Data-Finanzas"/>
    <s v="Cards y Payments"/>
    <s v="Catálogo de Dominio"/>
    <s v="Maestro de equivalencias funcionales de los archivos administrativos proveídos por Izipay"/>
    <s v="Funcional"/>
    <s v="Alta"/>
    <d v="2026-03-15T00:00:00"/>
    <m/>
    <d v="2026-03-31T00:00:00"/>
    <s v="Fredy C."/>
    <s v="Fredy C."/>
    <b v="1"/>
    <x v="0"/>
    <s v="Data-Finanzas"/>
    <m/>
    <s v="S"/>
  </r>
  <r>
    <n v="2"/>
    <s v="Data"/>
    <m/>
    <m/>
    <s v="Data-Finanzas"/>
    <s v="Cards y Payments"/>
    <s v="Disponibilización de Data en Datalake"/>
    <s v="Se ejecuta proceso que envia todos los archivos adminstrativos desde SFTP de taerjetas hacia el Datalake (S3)"/>
    <s v="Técnica"/>
    <s v="Medio"/>
    <d v="2026-03-18T00:00:00"/>
    <m/>
    <d v="2026-03-31T00:00:00"/>
    <s v="Julio P."/>
    <s v="Fredy C."/>
    <b v="1"/>
    <x v="0"/>
    <s v="Data-Finanzas"/>
    <m/>
    <s v="S"/>
  </r>
  <r>
    <n v="3"/>
    <s v="Data"/>
    <m/>
    <m/>
    <s v="Data-Finanzas"/>
    <s v="Cards y Payments"/>
    <s v="Consultas técnicas MCP"/>
    <s v="Se consultará el mapeo entre los archivos administrativos y Tablas MCP"/>
    <s v="Técnica"/>
    <s v="Medio"/>
    <d v="2026-03-18T00:00:00"/>
    <m/>
    <d v="2026-03-31T00:00:00"/>
    <s v="Sonia B."/>
    <s v="Fredy C."/>
    <b v="1"/>
    <x v="0"/>
    <s v="Data-Finanzas"/>
    <m/>
    <s v="S"/>
  </r>
  <r>
    <n v="4"/>
    <s v="Data"/>
    <s v=" "/>
    <m/>
    <s v="Data-Finanzas"/>
    <s v="Core"/>
    <s v="Datos de Sistema de Originación"/>
    <s v="Brindar trama layout de datos y maestro de equivalencias funcionales"/>
    <s v="Técnica"/>
    <s v="Baja"/>
    <d v="2026-03-31T00:00:00"/>
    <m/>
    <m/>
    <s v="Sonia B."/>
    <s v="Julio P."/>
    <b v="1"/>
    <x v="1"/>
    <s v="Data-Finanzas"/>
    <m/>
    <s v="S"/>
  </r>
  <r>
    <n v="5"/>
    <s v="Data"/>
    <s v=" "/>
    <m/>
    <s v="Data-Finanzas"/>
    <s v="Core"/>
    <s v="Datos de log de subcuentas"/>
    <s v="Brindar ejemplo de registro de tabla log de apertura de subcuentas de ahorro"/>
    <s v="Técnica"/>
    <s v="Alta"/>
    <d v="2026-03-16T00:00:00"/>
    <m/>
    <d v="2026-03-16T00:00:00"/>
    <s v="Fredy C."/>
    <s v="Julio P."/>
    <b v="1"/>
    <x v="2"/>
    <s v="Data-Finanzas"/>
    <m/>
    <s v="S"/>
  </r>
  <r>
    <n v="6"/>
    <s v="Data"/>
    <s v=" "/>
    <m/>
    <s v="Data-Finanzas"/>
    <s v="Core"/>
    <s v="Datos de seguro de préstamos"/>
    <s v="Brindar ejemplo de flujo de seguros obligatorios pagos en mas de una cuota"/>
    <s v="Técnica"/>
    <s v="Alta"/>
    <d v="2026-03-17T00:00:00"/>
    <m/>
    <d v="2026-03-17T00:00:00"/>
    <s v="Sonia B."/>
    <s v="Julio P."/>
    <b v="1"/>
    <x v="0"/>
    <s v="Data-Finanzas"/>
    <m/>
    <s v="S"/>
  </r>
  <r>
    <n v="7"/>
    <s v="Data"/>
    <s v=" "/>
    <m/>
    <s v="Data-Riesgos"/>
    <s v="Cards y Payments"/>
    <s v="Datos de Tarjetas  de credito , dias de mora  y transacciones ."/>
    <s v="Se requiere inforamcion de saldos . tartjetas dias de mora para recontrutir las tablas del MCP001 , MCP002 , MCP003 , MCP004 , MCP005"/>
    <s v="Técnica"/>
    <s v="Medio"/>
    <d v="2026-03-17T00:00:00"/>
    <m/>
    <m/>
    <s v="Julio P."/>
    <s v="Fredy C."/>
    <b v="1"/>
    <x v="0"/>
    <s v="Data-Riesgos"/>
    <m/>
    <s v="S"/>
  </r>
  <r>
    <n v="8"/>
    <s v="Data"/>
    <m/>
    <m/>
    <s v="Data-I.C."/>
    <s v="Core"/>
    <s v="Modelo de datos del flujo completo de la venta"/>
    <s v="Se requiere información de los modelos de datos de solicitudes para la venta del módulo de teller."/>
    <s v="Técnica"/>
    <s v="Alta"/>
    <d v="2026-03-09T00:00:00"/>
    <m/>
    <m/>
    <m/>
    <s v="Julio P."/>
    <b v="1"/>
    <x v="0"/>
    <s v="Data-I.comercial"/>
    <m/>
    <s v="S"/>
  </r>
  <r>
    <n v="9"/>
    <s v="Data"/>
    <m/>
    <m/>
    <s v="Data-Riesgos"/>
    <s v="Core"/>
    <s v="Flujo to be del proceso de Bases Negativas"/>
    <s v="Se requiere entender con el equipo de Core cual  sera el nuevo flujo de bases negaivas ya que el usuario responsable depende de ese proceso"/>
    <s v="Funcional"/>
    <s v="Alta"/>
    <d v="2026-02-02T00:00:00"/>
    <m/>
    <m/>
    <m/>
    <s v="Julio P."/>
    <b v="1"/>
    <x v="1"/>
    <s v="Data-Riesgos"/>
    <m/>
    <s v="S"/>
  </r>
  <r>
    <n v="10"/>
    <s v="Data"/>
    <m/>
    <m/>
    <s v="Data-Finanzas"/>
    <s v="Core"/>
    <s v="Información de seguros optativos"/>
    <s v="Brindar información de seguros optativos con la información _x000a_de las primas pagas asi como las tablas de configuracion."/>
    <s v="Técnica"/>
    <s v="Media"/>
    <d v="2026-03-28T00:00:00"/>
    <m/>
    <d v="2026-04-30T00:00:00"/>
    <m/>
    <s v="Julio P."/>
    <b v="1"/>
    <x v="0"/>
    <s v="Data-Finanzas"/>
    <m/>
    <s v="S"/>
  </r>
  <r>
    <n v="11"/>
    <s v="Data"/>
    <m/>
    <m/>
    <s v="Data-Finanzas"/>
    <s v="Core"/>
    <s v="Información de castigados"/>
    <s v="Brindar la información necesaria para almacenar el nuevo _x000a_universo de castigados, con el fin de reemplazar tabla de trabajo _x000a_LD0D12. "/>
    <s v="Técnica"/>
    <s v="Media"/>
    <d v="2026-04-24T00:00:00"/>
    <m/>
    <d v="2026-06-30T00:00:00"/>
    <m/>
    <s v="Julio P."/>
    <b v="1"/>
    <x v="1"/>
    <s v="Data-Finanzas"/>
    <m/>
    <s v="S"/>
  </r>
  <r>
    <n v="12"/>
    <s v="Data"/>
    <m/>
    <m/>
    <s v="Data-Finanzas"/>
    <s v="Core"/>
    <s v="Información de refinanciados"/>
    <s v="Brindar la información necesaria para almacenar el nuevo _x000a_universo de castigados, con el fin de reemplazar tabla de trabajo _x000a_LRFD02."/>
    <s v="Técnica"/>
    <s v="Media"/>
    <d v="2026-04-24T00:00:00"/>
    <m/>
    <d v="2026-06-30T00:00:00"/>
    <m/>
    <s v="Julio P."/>
    <b v="1"/>
    <x v="1"/>
    <s v="Data-Finanzas"/>
    <m/>
    <s v="S"/>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4">
  <r>
    <n v="1"/>
    <s v="Canal Asistidos"/>
    <s v="Plan"/>
    <s v="P-391"/>
    <s v="Reclamos y Dalis"/>
    <s v="Seguridad y Redes"/>
    <s v="Conectividad"/>
    <s v="Habilitar firewalls en la VPN local para ingresar al ambiente preproductivo de Reclamos y DALIs"/>
    <s v="Técnica"/>
    <s v="Alta"/>
    <d v="2026-03-30T00:00:00"/>
    <m/>
    <d v="2026-03-30T00:00:00"/>
    <m/>
    <s v="Cesar Villanueva"/>
    <b v="1"/>
    <x v="0"/>
    <s v="Canales Asistidos"/>
    <m/>
    <s v="S"/>
  </r>
  <r>
    <n v="2"/>
    <s v="Canal Asistidos"/>
    <s v="Plan"/>
    <s v="P-360"/>
    <s v="SPACE"/>
    <s v="Infraestructura"/>
    <s v="Control M"/>
    <s v="Control M: transferencia de archivos"/>
    <s v="Técnica"/>
    <s v="Medio"/>
    <d v="2026-04-15T00:00:00"/>
    <m/>
    <m/>
    <m/>
    <s v="Sonia B."/>
    <b v="1"/>
    <x v="1"/>
    <s v="Canales Asistidos"/>
    <m/>
    <s v="S"/>
  </r>
  <r>
    <n v="3"/>
    <s v="Canal Asistidos"/>
    <s v="Plan"/>
    <s v="P-360"/>
    <s v="SPACE"/>
    <s v="Infraestructura"/>
    <s v="Habilitacion de accesos"/>
    <s v="Habilitacion de usuarios de desarrollo AWS DATA"/>
    <s v="Técnica"/>
    <s v="Medio"/>
    <d v="2026-03-31T00:00:00"/>
    <m/>
    <m/>
    <m/>
    <s v="Sonia B."/>
    <b v="1"/>
    <x v="1"/>
    <s v="Canales Asistidos"/>
    <m/>
    <s v="S"/>
  </r>
  <r>
    <n v="4"/>
    <s v="Canal Asistidos"/>
    <s v="Plan"/>
    <s v="P-353"/>
    <s v="SPACE"/>
    <s v="SPACE"/>
    <s v="Integracion Entra ID"/>
    <s v="Integracion con Entra ID"/>
    <s v="Técnica"/>
    <s v="Medio"/>
    <d v="2026-08-07T00:00:00"/>
    <m/>
    <m/>
    <m/>
    <s v="Sonia B."/>
    <b v="1"/>
    <x v="1"/>
    <s v="Canales Asistidos"/>
    <m/>
    <s v="N"/>
  </r>
  <r>
    <n v="5"/>
    <s v="Canal Asistidos"/>
    <s v="Plan"/>
    <s v="P-349"/>
    <s v="SPACE"/>
    <s v="Bantotal"/>
    <s v="Carga inicial"/>
    <s v="Carga inicial"/>
    <s v="Técnica"/>
    <s v="Medio"/>
    <d v="2026-07-31T00:00:00"/>
    <m/>
    <m/>
    <m/>
    <s v="Sonia B."/>
    <b v="1"/>
    <x v="1"/>
    <s v="Canales Asistidos"/>
    <m/>
    <s v="N"/>
  </r>
  <r>
    <n v="6"/>
    <s v="Canal Asistidos"/>
    <s v="Plan"/>
    <s v="P-169"/>
    <s v="SPACE"/>
    <s v="Cyberfinancial"/>
    <s v="Integracion"/>
    <s v="Integracion con Entra ID"/>
    <s v="Técnica"/>
    <s v="Medio"/>
    <d v="2026-04-24T00:00:00"/>
    <m/>
    <m/>
    <m/>
    <s v="Sonia B."/>
    <b v="1"/>
    <x v="1"/>
    <s v="Canales Asistidos"/>
    <m/>
    <s v="S"/>
  </r>
  <r>
    <n v="7"/>
    <s v="Canal Asistidos"/>
    <s v="Plan"/>
    <s v="P-031"/>
    <s v="Mesa de Concesiones"/>
    <s v="Ciberseguridad"/>
    <s v="Habilitación para integración con entraID"/>
    <s v="Habilitación para integración con entraID"/>
    <s v="Técnica"/>
    <s v="Baja"/>
    <d v="2026-06-15T00:00:00"/>
    <m/>
    <s v="TBD"/>
    <m/>
    <s v="Cesar Villanueva"/>
    <b v="1"/>
    <x v="1"/>
    <s v="Canales Asistidos"/>
    <m/>
    <s v="N"/>
  </r>
  <r>
    <n v="8"/>
    <s v="Canal Asistidos"/>
    <s v="Mapa"/>
    <s v="MF-06210"/>
    <s v="Cyberfinancial"/>
    <s v="Data"/>
    <s v="Migracion"/>
    <s v="Migracion de audios cobranza"/>
    <s v="Técnica"/>
    <s v="Alta"/>
    <d v="2026-06-12T00:00:00"/>
    <m/>
    <s v="TBD"/>
    <m/>
    <s v="Sonia B."/>
    <b v="1"/>
    <x v="2"/>
    <s v="Canales Asistidos"/>
    <m/>
    <s v="N"/>
  </r>
  <r>
    <n v="9"/>
    <s v="Canal Asistidos"/>
    <s v="Mapa"/>
    <s v="MF-05967"/>
    <s v="Reclamos y Dalis"/>
    <s v="Data"/>
    <s v="Migracion"/>
    <s v="Migracion historica de reclamos y carga de audios."/>
    <s v="Funcional"/>
    <s v="Medio"/>
    <d v="2026-06-26T00:00:00"/>
    <m/>
    <m/>
    <m/>
    <s v="Jean Paul"/>
    <b v="1"/>
    <x v="1"/>
    <s v="Canales Asistidos"/>
    <m/>
    <s v="N"/>
  </r>
  <r>
    <n v="10"/>
    <s v="Canal Asistidos"/>
    <s v="Mapa"/>
    <s v="MF-05940"/>
    <s v="Mesa de Concesiones"/>
    <s v="Negocio"/>
    <s v="Definición de modificaciones de documentos"/>
    <s v="Definir las modificaciones de documentos y registro de trazabilidad"/>
    <s v="Funcional"/>
    <s v="Baja"/>
    <d v="2026-04-17T00:00:00"/>
    <m/>
    <s v="TBD"/>
    <m/>
    <s v="Jorge Urrutia"/>
    <b v="1"/>
    <x v="1"/>
    <s v="Canales Asistidos"/>
    <m/>
    <s v="S"/>
  </r>
  <r>
    <n v="11"/>
    <s v="Canal Asistidos"/>
    <s v="Mapa"/>
    <s v="MF-05890"/>
    <s v="Mesa de Concesiones"/>
    <s v="Negocio"/>
    <s v="Definición de notificaciones"/>
    <s v="Definición de notificaciones dentro de la Gestión de rechazo de la solicitud"/>
    <s v="Funcional"/>
    <s v="Baja"/>
    <d v="2026-06-15T00:00:00"/>
    <m/>
    <s v="TBD"/>
    <m/>
    <s v="Jorge Urrutia"/>
    <b v="1"/>
    <x v="1"/>
    <s v="Canales Asistidos"/>
    <m/>
    <s v="N"/>
  </r>
  <r>
    <n v="12"/>
    <s v="Canal Asistidos"/>
    <s v="Mapa"/>
    <s v="MF-05880"/>
    <s v="Mesa de Concesiones"/>
    <s v="Negocio"/>
    <s v="Definición de checklist de documentos por rechazo"/>
    <s v="Definición de estructura de documentos para los sustentos por observación"/>
    <s v="Funcional"/>
    <s v="Medio"/>
    <d v="2026-06-15T00:00:00"/>
    <m/>
    <s v="TBD"/>
    <m/>
    <s v="Jorge Urrutia"/>
    <b v="1"/>
    <x v="1"/>
    <s v="Canales Asistidos"/>
    <m/>
    <s v="N"/>
  </r>
  <r>
    <n v="13"/>
    <s v="Canal Asistidos"/>
    <s v="Mapa"/>
    <s v="MF-05870"/>
    <s v="Mesa de Concesiones"/>
    <s v="Aplicaciones de Soporte"/>
    <s v="Apis"/>
    <s v="Desarrollo de 8 APIs para obtener resultados de evaluación, gestor documental y notificaciones"/>
    <s v="Técnica"/>
    <s v="Alta"/>
    <d v="2026-06-15T00:00:00"/>
    <m/>
    <s v="TBD"/>
    <m/>
    <s v="Jaime H."/>
    <b v="1"/>
    <x v="2"/>
    <s v="Canales Asistidos"/>
    <m/>
    <s v="N"/>
  </r>
  <r>
    <n v="14"/>
    <s v="Canal Asistidos"/>
    <s v="Mapa"/>
    <s v="MF-05860"/>
    <s v="Mesa de Concesiones"/>
    <s v="Negocio"/>
    <s v="Definición de funcionalidades para la Bandeja de Supervisor"/>
    <s v="Definición de KPIs, dashboard y vistas clave para el supervisor"/>
    <s v="Funcional"/>
    <s v="Medio"/>
    <d v="2026-04-17T00:00:00"/>
    <m/>
    <s v="TBD"/>
    <m/>
    <s v="Jorge Urrutia"/>
    <b v="1"/>
    <x v="1"/>
    <s v="Canales Asistidos"/>
    <m/>
    <s v="S"/>
  </r>
  <r>
    <n v="15"/>
    <s v="Canal Asistidos"/>
    <s v="Mapa"/>
    <s v="MF-05850"/>
    <s v="Mesa de Concesiones"/>
    <s v="Negocio"/>
    <s v="Definición de diseño de mesa de autonomía"/>
    <s v="Definición de atención de Mesa de Autonomías"/>
    <s v="Funcional"/>
    <s v="Medio"/>
    <d v="2026-03-23T00:00:00"/>
    <m/>
    <d v="2026-03-23T00:00:00"/>
    <m/>
    <s v="Jorge Urrutia"/>
    <b v="1"/>
    <x v="0"/>
    <s v="Canales Asistidos"/>
    <m/>
    <s v="S"/>
  </r>
  <r>
    <n v="16"/>
    <s v="Canal Asistidos"/>
    <s v="Mapa"/>
    <s v="MF-05850"/>
    <s v="Mesa de Concesiones"/>
    <s v="Negocio"/>
    <s v="Definición administrador de autonomías"/>
    <s v="Definición de módulo de administración de Autonomías"/>
    <s v="Funcional"/>
    <s v="Medio"/>
    <d v="2026-03-27T00:00:00"/>
    <d v="2026-04-10T00:00:00"/>
    <s v="TBD"/>
    <m/>
    <s v="Jorge Urrutia"/>
    <b v="1"/>
    <x v="3"/>
    <s v="Canales Asistidos"/>
    <m/>
    <s v="S"/>
  </r>
  <r>
    <n v="17"/>
    <s v="Canal Asistidos"/>
    <s v="Mapa"/>
    <s v="MF-05840"/>
    <s v="Mesa de Concesiones"/>
    <s v="Negocio"/>
    <s v="Definición modelo de atención"/>
    <s v="Definición de modelo de atención en Bandeja de Mesa de Concesiones (Asignación manual / automática)"/>
    <s v="Funcional"/>
    <s v="Alta"/>
    <d v="2026-03-27T00:00:00"/>
    <d v="2026-04-10T00:00:00"/>
    <s v="TBD"/>
    <m/>
    <s v="Jorge Urrutia"/>
    <b v="1"/>
    <x v="3"/>
    <s v="Canales Asistidos"/>
    <m/>
    <s v="S"/>
  </r>
  <r>
    <n v="18"/>
    <s v="Canal Asistidos"/>
    <s v="Mapa"/>
    <s v="MF-05840"/>
    <s v="Mesa de Concesiones"/>
    <s v="Negocio"/>
    <s v="Definición de SLAs"/>
    <s v="Definición de SLAs de atención y planes de acción"/>
    <s v="Funcional"/>
    <s v="Alta"/>
    <d v="2026-03-27T00:00:00"/>
    <d v="2026-04-10T00:00:00"/>
    <s v="TBD"/>
    <m/>
    <s v="Jorge Urrutia"/>
    <b v="1"/>
    <x v="1"/>
    <s v="Canales Asistidos"/>
    <m/>
    <s v="S"/>
  </r>
  <r>
    <n v="19"/>
    <s v="Canal Asistidos"/>
    <s v="Mapa"/>
    <s v="MF-05830"/>
    <s v="Mesa de Concesiones"/>
    <s v="Bantotal"/>
    <s v=" "/>
    <s v="Integración con BT para enviar solicitudes evaluadas a Mesa de Concesiones"/>
    <s v="Técnica"/>
    <s v="Alta"/>
    <d v="2026-06-15T00:00:00"/>
    <m/>
    <s v="TBD"/>
    <m/>
    <s v="Julio Palomino"/>
    <b v="1"/>
    <x v="1"/>
    <s v="Canales Asistidos"/>
    <m/>
    <s v="N"/>
  </r>
  <r>
    <n v="20"/>
    <s v="Canal Asistidos"/>
    <s v="Mapa"/>
    <s v="MF-05830"/>
    <s v="Mesa de Concesiones"/>
    <s v="Ciberseguridad"/>
    <s v="Integración con SPACE"/>
    <s v="Integración con SPACE para embeber Mesa de Concesiones"/>
    <s v="Técnica"/>
    <s v="Baja"/>
    <d v="2026-07-17T00:00:00"/>
    <m/>
    <s v="TBD"/>
    <m/>
    <s v="Jorge Urrutia"/>
    <b v="1"/>
    <x v="1"/>
    <s v="Canales Asistidos"/>
    <m/>
    <s v="N"/>
  </r>
  <r>
    <n v="21"/>
    <s v="Canal Asistidos"/>
    <s v="Mapa"/>
    <s v="MF-05800"/>
    <s v="Mesa de Concesiones"/>
    <s v="Negocio"/>
    <s v="Definición de roles"/>
    <s v="Definición de roles que tendrán acceso a Mesa de Concesiones"/>
    <s v="Funcional"/>
    <s v="Medio"/>
    <d v="2026-04-10T00:00:00"/>
    <m/>
    <s v="TBD"/>
    <m/>
    <s v="Jorge Urrutia"/>
    <b v="1"/>
    <x v="1"/>
    <s v="Canales Asistidos"/>
    <m/>
    <s v="S"/>
  </r>
  <r>
    <n v="22"/>
    <s v="Canal Asistidos"/>
    <s v="Mapa"/>
    <s v="MF-05790"/>
    <s v="SPACE"/>
    <s v="Data"/>
    <s v="Fuente de origen de campañas"/>
    <s v="Proceso de exportación de campañas"/>
    <s v="Funcional"/>
    <s v="Medio"/>
    <d v="2026-04-24T00:00:00"/>
    <m/>
    <m/>
    <m/>
    <s v="Sonia B."/>
    <b v="1"/>
    <x v="1"/>
    <s v="Canales Asistidos"/>
    <m/>
    <s v="S"/>
  </r>
  <r>
    <n v="23"/>
    <s v="Canal Asistidos"/>
    <s v="Mapa"/>
    <s v="MF-05790"/>
    <s v="SPACE"/>
    <s v="Bantotal"/>
    <s v="Fuente de origen de campañas"/>
    <s v="Proceso de exportación de campañas"/>
    <s v="Funcional"/>
    <s v="Medio"/>
    <d v="2026-04-24T00:00:00"/>
    <m/>
    <m/>
    <m/>
    <s v="Sonia B."/>
    <b v="1"/>
    <x v="1"/>
    <s v="Canales Asistidos"/>
    <m/>
    <s v="S"/>
  </r>
  <r>
    <n v="24"/>
    <s v="Canal Asistidos"/>
    <s v="Mapa"/>
    <s v="MF-05770"/>
    <s v="SPACE"/>
    <s v="Bantotal"/>
    <s v="Fuente de origen de clientes desde BT"/>
    <s v="Proceso de exportación de clientes desde BT"/>
    <s v="Funcional"/>
    <s v="Medio"/>
    <d v="2026-04-24T00:00:00"/>
    <m/>
    <m/>
    <m/>
    <s v="Sonia B."/>
    <b v="1"/>
    <x v="1"/>
    <s v="Canales Asistidos"/>
    <m/>
    <s v="S"/>
  </r>
  <r>
    <n v="25"/>
    <s v="Canal Asistidos"/>
    <s v="Mapa"/>
    <s v="MF-05760"/>
    <s v="SPACE"/>
    <s v="Bantotal"/>
    <s v="Definición de carga de datos"/>
    <s v="Definir fuente origen para carga de campañas "/>
    <s v="Técnica"/>
    <s v="Medio"/>
    <d v="2026-03-31T00:00:00"/>
    <d v="2026-04-07T00:00:00"/>
    <m/>
    <m/>
    <s v="Sonia B."/>
    <b v="1"/>
    <x v="0"/>
    <s v="Canales Asistidos"/>
    <m/>
    <s v="S"/>
  </r>
  <r>
    <n v="26"/>
    <s v="Canal Asistidos"/>
    <s v="Mapa"/>
    <s v="MF-05760"/>
    <s v="SPACE"/>
    <s v="Bantotal"/>
    <s v="Confirmacion de información"/>
    <s v="Confirmar donde residirán los No clientes (Personas que NO son clientes del Banco) "/>
    <s v="Técnica"/>
    <s v="Medio"/>
    <d v="2026-03-27T00:00:00"/>
    <m/>
    <m/>
    <m/>
    <s v="Sonia B."/>
    <b v="1"/>
    <x v="0"/>
    <s v="Canales Asistidos"/>
    <m/>
    <s v="S"/>
  </r>
  <r>
    <n v="27"/>
    <s v="Canal Asistidos"/>
    <s v="Mapa"/>
    <s v="MF-05760"/>
    <s v="SPACE"/>
    <s v="Bantotal"/>
    <s v="Configuracion de estructura comercial"/>
    <s v="Estructura Comercial de Agencias y CC "/>
    <s v="Técnica"/>
    <s v="Medio"/>
    <d v="2026-04-10T00:00:00"/>
    <m/>
    <m/>
    <m/>
    <s v="Sonia B."/>
    <b v="1"/>
    <x v="1"/>
    <s v="Canales Asistidos"/>
    <m/>
    <s v="S"/>
  </r>
  <r>
    <n v="28"/>
    <s v="Canal Asistidos"/>
    <s v="Mapa"/>
    <s v="MF-05750"/>
    <s v="SPACE"/>
    <s v="Bantotal"/>
    <s v="Fuente de origen de campañas"/>
    <s v="Proceso de exportación de campañas"/>
    <s v="Funcional"/>
    <s v="Medio"/>
    <d v="2026-04-24T00:00:00"/>
    <m/>
    <m/>
    <m/>
    <s v="Sonia B."/>
    <b v="1"/>
    <x v="1"/>
    <s v="Canales Asistidos"/>
    <m/>
    <s v="S"/>
  </r>
  <r>
    <n v="29"/>
    <s v="Canal Asistidos"/>
    <s v="Mapa"/>
    <s v="MF-05750"/>
    <s v="SPACE"/>
    <s v="Data"/>
    <s v="Fuente de origen de campañas"/>
    <s v="Proceso de exportación de campañas"/>
    <s v="Funcional"/>
    <s v="Medio"/>
    <d v="2026-04-24T00:00:00"/>
    <m/>
    <m/>
    <m/>
    <s v="Sonia B."/>
    <b v="1"/>
    <x v="1"/>
    <s v="Canales Asistidos"/>
    <m/>
    <s v="S"/>
  </r>
  <r>
    <n v="30"/>
    <s v="Canal Asistidos"/>
    <s v="Mapa"/>
    <s v="MF-05740"/>
    <s v="SPACE"/>
    <s v="Data"/>
    <s v="Fuente de origen de prospectos"/>
    <s v="Proceso de exportación de prospectos"/>
    <s v="Funcional"/>
    <s v="Medio"/>
    <d v="2026-04-24T00:00:00"/>
    <m/>
    <m/>
    <m/>
    <s v="Sonia B."/>
    <b v="1"/>
    <x v="1"/>
    <s v="Canales Asistidos"/>
    <m/>
    <s v="S"/>
  </r>
  <r>
    <n v="31"/>
    <s v="Canal Asistidos"/>
    <s v="Mapa"/>
    <s v="MF-05730"/>
    <s v="SPACE"/>
    <s v="Bantotal"/>
    <s v="Fuente de origen de clientes desde BT"/>
    <s v="Proceso de exportación de clientes desde BT"/>
    <s v="Funcional"/>
    <s v="Medio"/>
    <d v="2026-04-24T00:00:00"/>
    <m/>
    <m/>
    <m/>
    <s v="Sonia B."/>
    <b v="1"/>
    <x v="1"/>
    <s v="Canales Asistidos"/>
    <m/>
    <s v="S"/>
  </r>
  <r>
    <n v="32"/>
    <s v="Canal Asistidos"/>
    <s v="Mapa"/>
    <s v="MF-05720"/>
    <s v="SPACE"/>
    <s v="Bantotal"/>
    <s v="Definición de carga de datos"/>
    <s v="Definir fuente origen para carga de campañas "/>
    <s v="Técnica"/>
    <s v="Medio"/>
    <d v="2026-03-31T00:00:00"/>
    <d v="2026-04-07T00:00:00"/>
    <m/>
    <m/>
    <s v="Sonia B."/>
    <b v="1"/>
    <x v="0"/>
    <s v="Canales Asistidos"/>
    <m/>
    <s v="S"/>
  </r>
  <r>
    <n v="33"/>
    <s v="Canal Asistidos"/>
    <s v="Mapa"/>
    <s v="MF-05720"/>
    <s v="SPACE"/>
    <s v="Bantotal"/>
    <s v="Confirmacion de información"/>
    <s v="Confirmar donde residirán los No clientes (Personas que NO son clientes del Banco) "/>
    <s v="Técnica"/>
    <s v="Medio"/>
    <d v="2026-03-27T00:00:00"/>
    <m/>
    <m/>
    <m/>
    <s v="Sonia B."/>
    <b v="1"/>
    <x v="0"/>
    <s v="Canales Asistidos"/>
    <m/>
    <s v="S"/>
  </r>
  <r>
    <n v="34"/>
    <s v="Canal Asistidos"/>
    <s v="Mapa"/>
    <s v="MF-05720"/>
    <s v="SPACE"/>
    <s v="Bantotal"/>
    <s v="Configuracion de estructura comercial"/>
    <s v="Estructura Comercial de Agencias y CC "/>
    <s v="Técnica"/>
    <s v="Medio"/>
    <d v="2026-04-10T00:00:00"/>
    <m/>
    <m/>
    <m/>
    <s v="Sonia B."/>
    <b v="1"/>
    <x v="1"/>
    <s v="Canales Asistidos"/>
    <m/>
    <s v="S"/>
  </r>
  <r>
    <n v="35"/>
    <s v="Canal Asistidos"/>
    <s v="Mapa"/>
    <s v="MF-05710"/>
    <s v="Reclamos y Dalis"/>
    <s v="Negocio"/>
    <s v="Definir los roles para back office"/>
    <s v="Configuración de roles para back office (RECLAMOS)"/>
    <s v="Funcional"/>
    <s v="Medio"/>
    <d v="2026-06-01T00:00:00"/>
    <m/>
    <m/>
    <m/>
    <s v="Sonia B."/>
    <b v="1"/>
    <x v="1"/>
    <s v="Canales Asistidos"/>
    <m/>
    <s v="N"/>
  </r>
  <r>
    <n v="36"/>
    <s v="Canal Asistidos"/>
    <s v="Mapa"/>
    <s v="MF-05700"/>
    <s v="Reclamos y Dalis"/>
    <s v="Negocio"/>
    <s v="Definir los roles para agencias"/>
    <s v="Configuración de roles para agencias (RECLAMOS)"/>
    <s v="Funcional"/>
    <s v="Medio"/>
    <d v="2026-06-01T00:00:00"/>
    <m/>
    <m/>
    <m/>
    <s v="Sonia B."/>
    <b v="1"/>
    <x v="1"/>
    <s v="Canales Asistidos"/>
    <m/>
    <s v="N"/>
  </r>
  <r>
    <n v="37"/>
    <s v="Canal Asistidos"/>
    <s v="Mapa"/>
    <s v="MF-05690"/>
    <s v="Reclamos y Dalis"/>
    <s v="Negocio"/>
    <s v="Definir los roles para contact center"/>
    <s v="Configuración los roles para contact center (RECLAMOS)"/>
    <s v="Funcional"/>
    <s v="Medio"/>
    <d v="2026-06-01T00:00:00"/>
    <m/>
    <m/>
    <m/>
    <s v="Sonia B."/>
    <b v="1"/>
    <x v="1"/>
    <s v="Canales Asistidos"/>
    <m/>
    <s v="N"/>
  </r>
  <r>
    <n v="38"/>
    <s v="Canal Asistidos"/>
    <s v="Mapa"/>
    <s v="MF-05680"/>
    <s v="Reclamos y Dalis"/>
    <s v="Negocio"/>
    <s v="Definir los roles para back office"/>
    <s v="Configuración de roles para back office (DALIS)"/>
    <s v="Funcional"/>
    <s v="Medio"/>
    <d v="2026-06-01T00:00:00"/>
    <m/>
    <m/>
    <m/>
    <s v="Sonia B."/>
    <b v="1"/>
    <x v="1"/>
    <s v="Canales Asistidos"/>
    <m/>
    <s v="N"/>
  </r>
  <r>
    <n v="39"/>
    <s v="Canal Asistidos"/>
    <s v="Mapa"/>
    <s v="MF-05670"/>
    <s v="Reclamos y Dalis"/>
    <s v="Negocio"/>
    <s v="Definir los roles para agencias"/>
    <s v="Configuración de roles para agencias (DALIS)"/>
    <s v="Funcional"/>
    <s v="Medio"/>
    <d v="2026-06-01T00:00:00"/>
    <m/>
    <m/>
    <m/>
    <s v="Sonia B."/>
    <b v="1"/>
    <x v="1"/>
    <s v="Canales Asistidos"/>
    <m/>
    <s v="N"/>
  </r>
  <r>
    <n v="40"/>
    <s v="Canal Asistidos"/>
    <s v="Mapa"/>
    <s v="MF-05660"/>
    <s v="Reclamos y Dalis"/>
    <s v="Negocio"/>
    <s v="Definir los roles para contact center"/>
    <s v="Configuración los roles para contact center (DALIS)"/>
    <s v="Funcional"/>
    <s v="Medio"/>
    <d v="2026-06-01T00:00:00"/>
    <m/>
    <m/>
    <m/>
    <s v="Sonia B."/>
    <b v="1"/>
    <x v="1"/>
    <s v="Canales Asistidos"/>
    <m/>
    <s v="N"/>
  </r>
  <r>
    <n v="41"/>
    <s v="Canal Asistidos"/>
    <s v="Mapa"/>
    <s v="MF-05653"/>
    <s v="SPACE"/>
    <s v="ODS"/>
    <s v="Ambiente pre productivo espejo"/>
    <s v="Creación de un ambiente pre productivo espejo"/>
    <s v="Infraestructura"/>
    <s v="Alta"/>
    <d v="2026-06-05T00:00:00"/>
    <m/>
    <m/>
    <m/>
    <s v="Sonia B."/>
    <b v="1"/>
    <x v="1"/>
    <s v="Canales Asistidos"/>
    <m/>
    <s v="N"/>
  </r>
  <r>
    <n v="42"/>
    <s v="Canal Asistidos"/>
    <s v="Mapa"/>
    <s v="MF-05652"/>
    <s v="Reclamos y Dalis"/>
    <s v="Data"/>
    <s v="Explotacion de datos"/>
    <s v="Disponibilizar informacion historica de Dalis en datalake."/>
    <s v="Técnica"/>
    <s v="Alta"/>
    <d v="2026-06-30T00:00:00"/>
    <m/>
    <d v="2026-06-30T00:00:00"/>
    <m/>
    <s v="Jean Paul Astonitas"/>
    <b v="1"/>
    <x v="1"/>
    <s v="Canales Asistidos"/>
    <m/>
    <s v="N"/>
  </r>
  <r>
    <n v="43"/>
    <s v="Canal Asistidos"/>
    <s v="Mapa"/>
    <s v="MF-05650"/>
    <s v="Reclamos y Dalis"/>
    <s v="Web Institucional"/>
    <s v="Integración &amp; Conectividad"/>
    <s v="Se dejará la información en el bucket S3 con los reclamos generados desde la Web Institucional, y esta viajará en un proceso tipo batch hacia la bandeja de preregistro del sistema de Reclamos."/>
    <s v="Técnica"/>
    <s v="Alta"/>
    <d v="2026-06-30T00:00:00"/>
    <m/>
    <d v="2026-06-30T00:00:00"/>
    <m/>
    <s v="Henry J."/>
    <b v="1"/>
    <x v="1"/>
    <s v="Canales Asistidos"/>
    <m/>
    <s v="N"/>
  </r>
  <r>
    <n v="44"/>
    <s v="Canal Asistidos"/>
    <s v="Mapa"/>
    <s v="MF-05620"/>
    <s v="SPACE"/>
    <s v="Data"/>
    <s v="Fuente de origen de campañas"/>
    <s v="Proceso de exportación de campañas"/>
    <s v="Funcional"/>
    <s v="Medio"/>
    <d v="2026-04-24T00:00:00"/>
    <m/>
    <m/>
    <m/>
    <s v="Sonia B."/>
    <b v="1"/>
    <x v="1"/>
    <s v="Canales Asistidos"/>
    <m/>
    <s v="S"/>
  </r>
  <r>
    <n v="45"/>
    <s v="Canal Asistidos"/>
    <s v="Mapa"/>
    <s v="MF-05620"/>
    <s v="SPACE"/>
    <s v="Bantotal"/>
    <s v="Fuente de origen de campañas"/>
    <s v="Proceso de exportación de campañas"/>
    <s v="Funcional"/>
    <s v="Medio"/>
    <d v="2026-04-24T00:00:00"/>
    <m/>
    <m/>
    <m/>
    <s v="Sonia B."/>
    <b v="1"/>
    <x v="1"/>
    <s v="Canales Asistidos"/>
    <m/>
    <s v="S"/>
  </r>
  <r>
    <n v="46"/>
    <s v="Canal Asistidos"/>
    <s v="Mapa"/>
    <s v="MF-05500"/>
    <s v="Cyberfinancial"/>
    <s v="Cards &amp; Payments"/>
    <s v="Actualización de pagos en Bantotal "/>
    <s v="Actualización de pagos en bantotal de TC"/>
    <s v="Técnica"/>
    <s v="Alta"/>
    <d v="2026-07-01T00:00:00"/>
    <m/>
    <s v="TBD"/>
    <m/>
    <s v="Sonia B."/>
    <b v="1"/>
    <x v="2"/>
    <s v="Canales Asistidos"/>
    <m/>
    <s v="N"/>
  </r>
  <r>
    <n v="47"/>
    <s v="Canal Asistidos"/>
    <s v="Mapa"/>
    <s v="MF-05500"/>
    <s v="Cyberfinancial"/>
    <s v="Bantotal"/>
    <s v="Actualización de pagos en Bantotal "/>
    <s v="Actualización de pagos en bantotal de TD"/>
    <s v="Técnica"/>
    <s v="Alta"/>
    <d v="2026-07-01T00:00:00"/>
    <m/>
    <s v="TBD"/>
    <m/>
    <s v="Sonia B."/>
    <b v="1"/>
    <x v="2"/>
    <s v="Canales Asistidos"/>
    <m/>
    <s v="N"/>
  </r>
  <r>
    <n v="48"/>
    <s v="Canal Asistidos"/>
    <s v="Mapa"/>
    <s v="MF-05480"/>
    <s v="SPACE"/>
    <s v="Data"/>
    <s v="Fuente de origen de campañas"/>
    <s v="Proceso de exportación de campañas"/>
    <s v="Funcional"/>
    <s v="Medio"/>
    <d v="2026-04-24T00:00:00"/>
    <m/>
    <m/>
    <m/>
    <s v="Sonia B."/>
    <b v="1"/>
    <x v="1"/>
    <s v="Canales Asistidos"/>
    <m/>
    <s v="S"/>
  </r>
  <r>
    <n v="49"/>
    <s v="Canal Asistidos"/>
    <s v="Mapa"/>
    <s v="MF-05480"/>
    <s v="SPACE"/>
    <s v="Bantotal"/>
    <s v="Fuente de origen de campañas"/>
    <s v="Proceso de exportación de campañas"/>
    <s v="Funcional"/>
    <s v="Medio"/>
    <d v="2026-04-24T00:00:00"/>
    <m/>
    <m/>
    <m/>
    <s v="Sonia B."/>
    <b v="1"/>
    <x v="1"/>
    <s v="Canales Asistidos"/>
    <m/>
    <s v="S"/>
  </r>
  <r>
    <n v="50"/>
    <s v="Canal Asistidos"/>
    <s v="Mapa"/>
    <s v="MF-05400"/>
    <s v="SPACE"/>
    <s v="Data"/>
    <s v="Fuente de origen de campañas"/>
    <s v="Proceso de exportación de campañas"/>
    <s v="Funcional"/>
    <s v="Medio"/>
    <d v="2026-04-24T00:00:00"/>
    <m/>
    <m/>
    <m/>
    <s v="Sonia B."/>
    <b v="1"/>
    <x v="1"/>
    <s v="Canales Asistidos"/>
    <m/>
    <s v="S"/>
  </r>
  <r>
    <n v="51"/>
    <s v="Canal Asistidos"/>
    <s v="Mapa"/>
    <s v="MF-05400"/>
    <s v="SPACE"/>
    <s v="Bantotal"/>
    <s v="Fuente de origen de campañas"/>
    <s v="Proceso de exportación de campañas"/>
    <s v="Funcional"/>
    <s v="Medio"/>
    <d v="2026-04-24T00:00:00"/>
    <m/>
    <m/>
    <m/>
    <s v="Sonia B."/>
    <b v="1"/>
    <x v="1"/>
    <s v="Canales Asistidos"/>
    <m/>
    <s v="S"/>
  </r>
  <r>
    <n v="52"/>
    <s v="Canal Asistidos"/>
    <s v="Mapa"/>
    <s v="MF-05390"/>
    <s v="SPACE"/>
    <s v="Data"/>
    <s v="Fuente de origen de prospectos"/>
    <s v="Proceso de exportación de prospectos"/>
    <s v="Funcional"/>
    <s v="Medio"/>
    <d v="2026-04-24T00:00:00"/>
    <m/>
    <m/>
    <m/>
    <s v="Sonia B."/>
    <b v="1"/>
    <x v="1"/>
    <s v="Canales Asistidos"/>
    <m/>
    <s v="S"/>
  </r>
  <r>
    <n v="53"/>
    <s v="Canal Asistidos"/>
    <s v="Mapa"/>
    <s v="MF-05380"/>
    <s v="SPACE"/>
    <s v="Bantotal"/>
    <s v="Fuente de origen de clientes desde BT"/>
    <s v="Proceso de exportación de clientes desde BT"/>
    <s v="Funcional"/>
    <s v="Medio"/>
    <d v="2026-04-24T00:00:00"/>
    <m/>
    <m/>
    <m/>
    <s v="Sonia B."/>
    <b v="1"/>
    <x v="1"/>
    <s v="Canales Asistidos"/>
    <m/>
    <s v="S"/>
  </r>
  <r>
    <n v="54"/>
    <s v="Canal Asistidos"/>
    <s v="Mapa"/>
    <s v="MF-05380"/>
    <s v="SPACE"/>
    <m/>
    <s v="Fuente de origen de no clientes"/>
    <s v="Proceso de exportación de NO CLIENTES desde XXXXX"/>
    <s v="Funcional"/>
    <s v="Medio"/>
    <d v="2026-04-24T00:00:00"/>
    <m/>
    <m/>
    <m/>
    <s v="Sonia B."/>
    <b v="1"/>
    <x v="1"/>
    <s v="Canales Asistidos"/>
    <m/>
    <s v="S"/>
  </r>
  <r>
    <n v="55"/>
    <s v="Canal Asistidos"/>
    <s v="Mapa"/>
    <s v="MF-05350"/>
    <s v="SPACE"/>
    <s v="Cards &amp; Payments"/>
    <s v="Definicion de campos para apis"/>
    <s v="Confirmación de estados de las tarjetas"/>
    <s v="Técnica"/>
    <s v="Medio"/>
    <d v="2026-06-03T00:00:00"/>
    <m/>
    <m/>
    <m/>
    <s v="Sonia B."/>
    <b v="1"/>
    <x v="1"/>
    <s v="Canales Asistidos"/>
    <m/>
    <s v="N"/>
  </r>
  <r>
    <n v="56"/>
    <s v="Canal Asistidos"/>
    <s v="Mapa"/>
    <s v="MF-05350"/>
    <s v="SPACE"/>
    <s v="Negocio"/>
    <s v="Definicion de estados y situaciones de Tarjeta de débito"/>
    <s v="Definición de estados de tarjeta de débito y motivos de bloqueo"/>
    <s v="Técnica"/>
    <s v="Medio"/>
    <d v="2026-06-03T00:00:00"/>
    <m/>
    <m/>
    <m/>
    <s v="Sonia B."/>
    <b v="1"/>
    <x v="1"/>
    <s v="Canales Asistidos"/>
    <m/>
    <s v="N"/>
  </r>
  <r>
    <n v="57"/>
    <s v="Canal Asistidos"/>
    <s v="Mapa"/>
    <s v="MF-05340"/>
    <s v="SPACE"/>
    <s v="Bantotal"/>
    <s v="Mapeo de nuevos campos en APIs"/>
    <s v="Agregar el campo estado de movimientos para tarjetas de débito"/>
    <s v="Técnica"/>
    <s v="Medio"/>
    <d v="2026-06-03T00:00:00"/>
    <m/>
    <m/>
    <m/>
    <s v="Sonia B."/>
    <b v="1"/>
    <x v="1"/>
    <s v="Canales Asistidos"/>
    <m/>
    <s v="N"/>
  </r>
  <r>
    <n v="58"/>
    <s v="Canal Asistidos"/>
    <s v="Mapa"/>
    <s v="MF-05340"/>
    <s v="SPACE"/>
    <s v="Cards &amp; Payments"/>
    <s v="Definicion de campos para apis"/>
    <s v="Confirmación de estados de las tarjetas"/>
    <s v="Técnica"/>
    <s v="Medio"/>
    <d v="2026-06-03T00:00:00"/>
    <m/>
    <m/>
    <m/>
    <s v="Sonia B."/>
    <b v="1"/>
    <x v="1"/>
    <s v="Canales Asistidos"/>
    <m/>
    <s v="N"/>
  </r>
  <r>
    <n v="59"/>
    <s v="Canal Asistidos"/>
    <s v="Mapa"/>
    <s v="MF-05340"/>
    <s v="SPACE"/>
    <s v="Integración ODS"/>
    <s v="Apis"/>
    <s v="Desarrollo de 8 Apis por parte de ODS (IVR)"/>
    <s v="Técnica"/>
    <s v="Medio"/>
    <d v="2026-03-31T00:00:00"/>
    <d v="2026-04-07T00:00:00"/>
    <m/>
    <m/>
    <s v="Sonia B."/>
    <b v="1"/>
    <x v="3"/>
    <s v="Canales Asistidos"/>
    <m/>
    <s v="S"/>
  </r>
  <r>
    <n v="60"/>
    <s v="Canal Asistidos"/>
    <s v="Mapa"/>
    <s v="MF-05340"/>
    <s v="SPACE"/>
    <s v="Negocio"/>
    <s v="Definicion de estados y situaciones de Tarjeta de débito"/>
    <s v="Definición de estados de tarjeta de débito y motivos de bloqueo"/>
    <s v="Técnica"/>
    <s v="Medio"/>
    <d v="2026-06-03T00:00:00"/>
    <m/>
    <m/>
    <m/>
    <s v="Sonia B."/>
    <b v="1"/>
    <x v="1"/>
    <s v="Canales Asistidos"/>
    <m/>
    <s v="N"/>
  </r>
  <r>
    <n v="61"/>
    <s v="Canal Asistidos"/>
    <s v="Mapa"/>
    <s v="MF-05340"/>
    <s v="SPACE"/>
    <s v="Bantotal"/>
    <s v="Fuente de origen de la Base de fraudes"/>
    <s v="Confirmar con BT el origen de la base de fraudes para la integración con APIs"/>
    <s v="Técnica"/>
    <s v="Medio"/>
    <d v="2026-04-15T00:00:00"/>
    <m/>
    <m/>
    <m/>
    <s v="Sonia B."/>
    <b v="1"/>
    <x v="1"/>
    <s v="Canales Asistidos"/>
    <m/>
    <s v="S"/>
  </r>
  <r>
    <n v="62"/>
    <s v="Canal Asistidos"/>
    <s v="Mapa"/>
    <s v="MF-05340"/>
    <s v="SPACE"/>
    <s v="Bantotal"/>
    <s v="Fuente de origen para obtener la lista de países restringidos o prohibidos"/>
    <s v="Confirmar con BT el origen de la base de países restringidos o prohibidos"/>
    <s v="Técnica"/>
    <s v="Medio"/>
    <d v="2026-04-15T00:00:00"/>
    <m/>
    <m/>
    <m/>
    <s v="Sonia B."/>
    <b v="1"/>
    <x v="1"/>
    <s v="Canales Asistidos"/>
    <m/>
    <s v="S"/>
  </r>
  <r>
    <n v="63"/>
    <s v="Canal Asistidos"/>
    <s v="Mapa"/>
    <s v="MF-04830"/>
    <s v="Reclamos y Dalis"/>
    <s v="Infraestructura"/>
    <s v="Habilitacion de accesos"/>
    <s v="Habilitacion de usuarios de desarrollo AWS DATA"/>
    <s v="Técnica"/>
    <s v="Medio"/>
    <d v="2026-03-31T00:00:00"/>
    <m/>
    <d v="2026-03-31T00:00:00"/>
    <m/>
    <s v="Sonia B."/>
    <b v="1"/>
    <x v="0"/>
    <s v="Canales Asistidos"/>
    <m/>
    <s v="S"/>
  </r>
  <r>
    <n v="64"/>
    <s v="Canal Asistidos"/>
    <s v="Mapa"/>
    <s v="MF-04830"/>
    <s v="Reclamos y Dalis"/>
    <s v="Data"/>
    <s v="Explotacion de datos"/>
    <s v="Disponibilizar informacion historica de reclamos en datalake."/>
    <s v="Técnica"/>
    <s v="Alta"/>
    <d v="2026-06-30T00:00:00"/>
    <m/>
    <d v="2026-06-30T00:00:00"/>
    <m/>
    <s v="Jean Paul Astonitas"/>
    <b v="1"/>
    <x v="1"/>
    <s v="Canales Asistidos"/>
    <m/>
    <s v="N"/>
  </r>
  <r>
    <n v="65"/>
    <s v="Canal Asistidos"/>
    <s v="Mapa"/>
    <s v="MF-04560"/>
    <s v="SPACE"/>
    <s v="Data"/>
    <s v="Reportes"/>
    <s v="Generación de reportes de usuarios con información retornada de Space"/>
    <s v="Técnica"/>
    <s v="Medio"/>
    <d v="2026-06-26T00:00:00"/>
    <m/>
    <m/>
    <m/>
    <s v="Sonia B."/>
    <b v="1"/>
    <x v="1"/>
    <s v="Canales Asistidos"/>
    <m/>
    <s v="N"/>
  </r>
  <r>
    <n v="66"/>
    <s v="Canal Asistidos"/>
    <s v="Mapa"/>
    <s v="MF-04510"/>
    <s v="Cyberfinancial"/>
    <s v="Data"/>
    <s v="Migracion"/>
    <s v="Migracion de Datos (One shot) (UAT)"/>
    <s v="Técnica"/>
    <s v="Alta"/>
    <d v="2026-07-03T00:00:00"/>
    <m/>
    <s v="TBD"/>
    <m/>
    <s v="Sonia B."/>
    <b v="1"/>
    <x v="2"/>
    <s v="Canales Asistidos"/>
    <m/>
    <s v="N"/>
  </r>
  <r>
    <n v="67"/>
    <s v="Canal Asistidos"/>
    <s v="Mapa"/>
    <s v="MF-04510"/>
    <s v="Cyberfinancial"/>
    <s v="Infraestructura"/>
    <s v="Control M"/>
    <s v="Control M: transferencia de archivos"/>
    <s v="Técnica"/>
    <s v="Medio"/>
    <d v="2026-04-15T00:00:00"/>
    <m/>
    <m/>
    <m/>
    <s v="Sonia B."/>
    <b v="1"/>
    <x v="1"/>
    <s v="Canales Asistidos"/>
    <m/>
    <s v="S"/>
  </r>
  <r>
    <n v="68"/>
    <s v="Canal Asistidos"/>
    <s v="Mapa"/>
    <s v="MF-04510"/>
    <s v="Cyberfinancial"/>
    <s v="Infraestructura"/>
    <s v="Habilitacion de accesos"/>
    <s v="Habilitacion de usuarios de desarrollo AWS DATA"/>
    <s v="Técnica"/>
    <s v="Medio"/>
    <d v="2026-03-31T00:00:00"/>
    <m/>
    <m/>
    <m/>
    <s v="Sonia B."/>
    <b v="1"/>
    <x v="1"/>
    <s v="Canales Asistidos"/>
    <m/>
    <s v="S"/>
  </r>
  <r>
    <n v="69"/>
    <s v="Canal Asistidos"/>
    <s v="Mapa"/>
    <s v="MF-04495"/>
    <s v="SPACE"/>
    <s v="Bantotal"/>
    <s v="Definición de carga de datos"/>
    <s v="Definir fuente origen para carga de campañas "/>
    <s v="Técnica"/>
    <s v="Medio"/>
    <d v="2026-03-31T00:00:00"/>
    <d v="2026-04-07T00:00:00"/>
    <m/>
    <m/>
    <s v="Sonia B."/>
    <b v="1"/>
    <x v="3"/>
    <s v="Canales Asistidos"/>
    <m/>
    <s v="S"/>
  </r>
  <r>
    <n v="70"/>
    <s v="Canal Asistidos"/>
    <s v="Mapa"/>
    <s v="MF-04495"/>
    <s v="SPACE"/>
    <s v="Bantotal"/>
    <s v="Confirmacion de información"/>
    <s v="Confirmar donde residirán los No clientes (Personas que NO son clientes del Banco) "/>
    <s v="Técnica"/>
    <s v="Medio"/>
    <d v="2026-03-31T00:00:00"/>
    <m/>
    <m/>
    <m/>
    <s v="Sonia B."/>
    <b v="1"/>
    <x v="0"/>
    <s v="Canales Asistidos"/>
    <m/>
    <s v="S"/>
  </r>
  <r>
    <n v="71"/>
    <s v="Canal Asistidos"/>
    <s v="Mapa"/>
    <s v="MF-04495"/>
    <s v="SPACE"/>
    <s v="Bantotal"/>
    <s v="Configuracion de estructura comercial"/>
    <s v="Estructura Comercial de Agencias y CC "/>
    <s v="Técnica"/>
    <s v="Medio"/>
    <d v="2026-04-10T00:00:00"/>
    <m/>
    <m/>
    <m/>
    <s v="Sonia B."/>
    <b v="1"/>
    <x v="1"/>
    <s v="Canales Asistidos"/>
    <m/>
    <s v="S"/>
  </r>
  <r>
    <n v="72"/>
    <s v="Canal Asistidos"/>
    <s v="Mapa"/>
    <s v="MF-04480"/>
    <s v="SPACE"/>
    <s v="Cards &amp; Payments"/>
    <s v="Confirmar funcionalidades"/>
    <s v="Confirmar funcionalidades en las herramientas Vision+ e IG, entre otras."/>
    <s v="Técnica"/>
    <s v="Medio"/>
    <d v="2026-04-10T00:00:00"/>
    <m/>
    <m/>
    <m/>
    <s v="Sonia B."/>
    <b v="1"/>
    <x v="1"/>
    <s v="Canales Asistidos"/>
    <m/>
    <s v="S"/>
  </r>
  <r>
    <n v="73"/>
    <s v="Canal Asistidos"/>
    <s v="Mapa"/>
    <s v="MF-04480"/>
    <s v="SPACE"/>
    <s v="Cyberfinancial"/>
    <s v="Integracion Cyberfinancial"/>
    <s v="Integración con cyberfinancial"/>
    <s v="Técnica"/>
    <s v="Medio"/>
    <d v="2026-03-31T00:00:00"/>
    <m/>
    <m/>
    <m/>
    <s v="Sonia B."/>
    <b v="1"/>
    <x v="3"/>
    <s v="Canales Asistidos"/>
    <m/>
    <s v="S"/>
  </r>
  <r>
    <n v="74"/>
    <s v="Canal Asistidos"/>
    <s v="Mapa"/>
    <s v="MF-04480"/>
    <s v="SPACE"/>
    <s v="DMS"/>
    <s v="Confirmacion de funcionalidades "/>
    <s v="Confirmacion de funcionalidades actuales de DMS y roles para on demand"/>
    <s v="Técnica"/>
    <s v="Medio"/>
    <d v="2026-03-27T00:00:00"/>
    <m/>
    <m/>
    <m/>
    <s v="Sonia B."/>
    <b v="1"/>
    <x v="1"/>
    <s v="Canales Asistidos"/>
    <m/>
    <s v="S"/>
  </r>
  <r>
    <n v="75"/>
    <s v="Canal Asistidos"/>
    <s v="Mapa"/>
    <s v="MF-04480"/>
    <s v="SPACE"/>
    <s v="Front consulta Documentos"/>
    <s v="Integración web documentos"/>
    <s v="Integración con aplicación de consulta de estados de cuenta"/>
    <s v="Técnica"/>
    <s v="Alta"/>
    <d v="2026-07-24T00:00:00"/>
    <m/>
    <m/>
    <m/>
    <s v="Sonia B."/>
    <b v="1"/>
    <x v="1"/>
    <s v="Canales Asistidos"/>
    <m/>
    <s v="N"/>
  </r>
  <r>
    <n v="76"/>
    <s v="Canal Asistidos"/>
    <s v="Mapa"/>
    <s v="MF-04380"/>
    <s v="SPACE"/>
    <s v="Reclamos y Dalis"/>
    <s v="Integración quejas y reclamos"/>
    <s v="Integración con aplicación de quejas y reclamos"/>
    <s v="Técnica"/>
    <s v="Alta"/>
    <d v="2026-04-10T00:00:00"/>
    <m/>
    <m/>
    <m/>
    <s v="Sonia B."/>
    <b v="1"/>
    <x v="1"/>
    <s v="Canales Asistidos"/>
    <m/>
    <s v="S"/>
  </r>
  <r>
    <n v="77"/>
    <s v="Canal Asistidos"/>
    <s v="Mapa"/>
    <s v="MF-04380"/>
    <s v="SPACE"/>
    <s v="Infraestructura"/>
    <s v="Conectividad"/>
    <s v="Central Telefonica"/>
    <s v="Técnica"/>
    <s v="Alta"/>
    <d v="2026-06-05T00:00:00"/>
    <m/>
    <m/>
    <m/>
    <s v="Sonia B."/>
    <b v="1"/>
    <x v="1"/>
    <s v="Canales Asistidos"/>
    <m/>
    <s v="N"/>
  </r>
  <r>
    <n v="78"/>
    <s v="Canal Asistidos"/>
    <s v="Mapa"/>
    <s v="MF-04350"/>
    <s v="SPACE"/>
    <s v="Infraestructura"/>
    <s v="Conectividad"/>
    <s v="Central Telefonica"/>
    <s v="Técnica"/>
    <s v="Alta"/>
    <d v="2026-06-05T00:00:00"/>
    <m/>
    <m/>
    <m/>
    <s v="Sonia B."/>
    <b v="1"/>
    <x v="1"/>
    <s v="Canales Asistidos"/>
    <m/>
    <s v="N"/>
  </r>
  <r>
    <n v="79"/>
    <s v="Canal Asistidos"/>
    <s v="Mapa"/>
    <s v="MF-04260"/>
    <s v="SPACE"/>
    <s v="Infraestructura"/>
    <s v="Conectividad"/>
    <s v="Central Telefonica"/>
    <s v="Técnica"/>
    <s v="Alta"/>
    <d v="2026-06-05T00:00:00"/>
    <m/>
    <m/>
    <m/>
    <s v="Sonia B."/>
    <b v="1"/>
    <x v="1"/>
    <s v="Canales Asistidos"/>
    <m/>
    <s v="N"/>
  </r>
  <r>
    <n v="80"/>
    <s v="Canal Asistidos"/>
    <s v="Mapa"/>
    <s v="MF-04250"/>
    <s v="SPACE"/>
    <s v="Mesa de concesiones"/>
    <s v="Conexión a RENIEC"/>
    <s v="Link de ingreso a Reniec desde SPACE"/>
    <s v="Técnica"/>
    <s v="Medio"/>
    <d v="2026-07-24T00:00:00"/>
    <m/>
    <m/>
    <m/>
    <s v="Sonia B."/>
    <b v="1"/>
    <x v="1"/>
    <s v="Canales Asistidos"/>
    <m/>
    <s v="N"/>
  </r>
  <r>
    <n v="81"/>
    <s v="Canal Asistidos"/>
    <s v="Mapa"/>
    <s v="MF-04230"/>
    <s v="SPACE"/>
    <s v="Infraestructura"/>
    <s v="Dispositivo biometrico"/>
    <s v="Disponibilidad del dispositivo biometrico"/>
    <s v="Infraestructura"/>
    <s v="Medio"/>
    <d v="2026-06-05T00:00:00"/>
    <m/>
    <m/>
    <m/>
    <s v="Sonia B."/>
    <b v="1"/>
    <x v="1"/>
    <s v="Canales Asistidos"/>
    <m/>
    <s v="N"/>
  </r>
  <r>
    <n v="82"/>
    <s v="Canal Asistidos"/>
    <s v="Mapa"/>
    <s v="MF-04230"/>
    <s v="SPACE"/>
    <s v="Infraestructura"/>
    <s v="Dispositivo biometrico"/>
    <s v="Habilitación de Equipo con Biomatch Client"/>
    <s v="Infraestructura"/>
    <s v="Medio"/>
    <d v="2026-06-05T00:00:00"/>
    <m/>
    <m/>
    <m/>
    <s v="Sonia B."/>
    <b v="1"/>
    <x v="1"/>
    <s v="Canales Asistidos"/>
    <m/>
    <s v="N"/>
  </r>
  <r>
    <n v="83"/>
    <s v="Canal Asistidos"/>
    <s v="Mapa"/>
    <s v="MF-04230"/>
    <s v="SPACE"/>
    <s v="Zytrust"/>
    <s v="Integracion"/>
    <s v="Autenticación/Identificación de cliente con huellero "/>
    <s v="Técnica"/>
    <s v="Medio"/>
    <d v="2026-04-06T00:00:00"/>
    <m/>
    <m/>
    <m/>
    <s v="Sonia B."/>
    <b v="1"/>
    <x v="1"/>
    <s v="Canales Asistidos"/>
    <m/>
    <s v="S"/>
  </r>
  <r>
    <n v="84"/>
    <s v="Canal Asistidos"/>
    <s v="Mapa"/>
    <s v="MF-04200"/>
    <s v="SPACE"/>
    <s v="Prosegur"/>
    <s v="Link de ingreso a web PROSEGUR desde Space"/>
    <s v="Integración con aplicación web de Prosegur"/>
    <s v="Técnica"/>
    <s v="Alta"/>
    <d v="2026-07-24T00:00:00"/>
    <m/>
    <m/>
    <m/>
    <s v="Sonia B."/>
    <b v="1"/>
    <x v="1"/>
    <s v="Canales Asistidos"/>
    <m/>
    <s v="N"/>
  </r>
  <r>
    <n v="85"/>
    <s v="Canal Asistidos"/>
    <s v="Mapa"/>
    <s v="MF-04200"/>
    <s v="SPACE"/>
    <s v="Enotria"/>
    <s v="Link de ingreso a Web Enotria desde Space"/>
    <s v="Integración con aplicación web de Enotria"/>
    <s v="Técnica"/>
    <s v="Alta"/>
    <d v="2026-07-24T00:00:00"/>
    <m/>
    <m/>
    <m/>
    <s v="Sonia B."/>
    <b v="1"/>
    <x v="1"/>
    <s v="Canales Asistidos"/>
    <m/>
    <s v="N"/>
  </r>
  <r>
    <n v="86"/>
    <s v="Canal Asistidos"/>
    <s v="Mapa"/>
    <s v="MF-04180"/>
    <s v="SPACE"/>
    <s v="Infraestructura"/>
    <s v="Conectividad"/>
    <s v="Central Telefonica"/>
    <s v="Técnica"/>
    <s v="Alta"/>
    <d v="2026-04-30T00:00:00"/>
    <m/>
    <m/>
    <m/>
    <s v="Sonia B."/>
    <b v="1"/>
    <x v="1"/>
    <s v="Canales Asistidos"/>
    <m/>
    <s v="S"/>
  </r>
  <r>
    <n v="87"/>
    <s v="Canal Asistidos"/>
    <s v="Mapa"/>
    <s v="MF-04160"/>
    <s v="SPACE"/>
    <s v="Reclamos y Dalis"/>
    <s v="Integración web quejas y reclamos"/>
    <s v="Integración con aplicación de quejas y reclamos"/>
    <s v="Técnica"/>
    <s v="Alta"/>
    <d v="2026-07-24T00:00:00"/>
    <m/>
    <m/>
    <m/>
    <s v="Sonia B."/>
    <b v="1"/>
    <x v="1"/>
    <s v="Canales Asistidos"/>
    <m/>
    <s v="N"/>
  </r>
  <r>
    <n v="88"/>
    <s v="Canal Asistidos"/>
    <s v="Mapa"/>
    <s v="MF-04110"/>
    <s v="SPACE"/>
    <s v="Digital"/>
    <s v="Integración web asistidos"/>
    <s v="Integración de la web asistidos "/>
    <s v="Técnica"/>
    <s v="Alta"/>
    <d v="2026-06-26T00:00:00"/>
    <m/>
    <m/>
    <m/>
    <s v="Sonia B."/>
    <b v="1"/>
    <x v="1"/>
    <m/>
    <m/>
    <s v="N"/>
  </r>
  <r>
    <n v="89"/>
    <s v="Canal Asistidos"/>
    <s v="Mapa"/>
    <s v="MF-04010"/>
    <s v="Cyberfinancial"/>
    <s v="Negocio"/>
    <s v="Definicion de Historias PI3"/>
    <s v="Cerrar con las historias de usaurio asocidas al PI3"/>
    <s v="Funcional"/>
    <s v="Medio"/>
    <d v="2026-06-12T00:00:00"/>
    <m/>
    <s v="TBD"/>
    <m/>
    <s v="Sonia B."/>
    <b v="1"/>
    <x v="1"/>
    <s v="Canales Asistidos"/>
    <m/>
    <s v="N"/>
  </r>
  <r>
    <n v="90"/>
    <s v="Canal Asistidos"/>
    <s v="Mapa"/>
    <s v="MF-03990"/>
    <s v="Cyberfinancial"/>
    <s v="Negocio"/>
    <s v="Definicion de Historias PI2"/>
    <s v="Cerrar con las historias de usuario asocidas al PI2"/>
    <s v="Funcional"/>
    <s v="Medio"/>
    <d v="2026-03-23T00:00:00"/>
    <d v="2026-04-10T00:00:00"/>
    <s v="TBD"/>
    <m/>
    <s v="Sonia B."/>
    <b v="1"/>
    <x v="3"/>
    <s v="Canales Asistidos"/>
    <m/>
    <s v="S"/>
  </r>
  <r>
    <n v="91"/>
    <s v="Canal Asistidos"/>
    <s v="Mapa"/>
    <s v="MF-03885"/>
    <s v="SPACE"/>
    <s v="Ciberseguridad"/>
    <s v="Integración"/>
    <s v="Validación de las Url's de las aplicaciones externas a embeber en Space"/>
    <s v="Técnica"/>
    <s v="Alta"/>
    <d v="2026-04-10T00:00:00"/>
    <m/>
    <m/>
    <m/>
    <s v="Sonia B."/>
    <b v="1"/>
    <x v="1"/>
    <s v="Canales Asistidos"/>
    <m/>
    <s v="S"/>
  </r>
  <r>
    <n v="92"/>
    <s v="Canal Asistidos"/>
    <s v="Mapa"/>
    <s v="MF-03880"/>
    <s v="SPACE"/>
    <s v="Ciberseguridad"/>
    <s v="Integración"/>
    <s v="Validación de las Url's de las aplicaciones externas a embeber en Space"/>
    <s v="Técnica"/>
    <s v="Alta"/>
    <d v="2026-04-10T00:00:00"/>
    <m/>
    <m/>
    <m/>
    <s v="Sonia B."/>
    <b v="1"/>
    <x v="1"/>
    <s v="Canales Asistidos"/>
    <m/>
    <s v="S"/>
  </r>
  <r>
    <n v="93"/>
    <s v="Canal Asistidos"/>
    <s v="Mapa"/>
    <s v="MF-03840"/>
    <s v="SPACE"/>
    <s v="Digital"/>
    <s v="Integración web asistidos"/>
    <s v="Integración de la web asistidos "/>
    <s v="Técnica"/>
    <s v="Alta"/>
    <d v="2026-06-26T00:00:00"/>
    <m/>
    <m/>
    <m/>
    <s v="Sonia B."/>
    <b v="1"/>
    <x v="1"/>
    <s v="Canales Asistidos"/>
    <m/>
    <s v="N"/>
  </r>
  <r>
    <n v="94"/>
    <s v="Canal Asistidos"/>
    <s v="Mapa"/>
    <s v="MF-03790"/>
    <s v="Cyberfinancial"/>
    <s v="Bantotal"/>
    <s v="Data de prestamos"/>
    <s v="Generacion de UDA 1 y 2 para envio informacion Préstamos (UAT)"/>
    <s v="Técnica"/>
    <s v="Alta"/>
    <d v="2026-07-01T00:00:00"/>
    <m/>
    <s v="TBD"/>
    <m/>
    <s v="Sonia B."/>
    <b v="1"/>
    <x v="0"/>
    <s v="Canales Asistidos"/>
    <m/>
    <s v="N"/>
  </r>
  <r>
    <n v="95"/>
    <s v="Canal Asistidos"/>
    <s v="Mapa"/>
    <s v="MF-03790"/>
    <s v="Cyberfinancial"/>
    <s v="Ciberseguridad"/>
    <s v="Comunicación entre DEV local y PRE ODS"/>
    <s v="Comunicacíón entre ambientes para probra el SFTP a ser utilizado en la carga diaria y One Shot"/>
    <s v="Técnica"/>
    <s v="Alta"/>
    <d v="2026-03-23T00:00:00"/>
    <m/>
    <s v="TBD"/>
    <m/>
    <s v="Sonia B."/>
    <b v="1"/>
    <x v="0"/>
    <s v="Canales Asistidos"/>
    <m/>
    <s v="S"/>
  </r>
  <r>
    <n v="96"/>
    <s v="Canal Asistidos"/>
    <s v="Mapa"/>
    <s v="MF-03780"/>
    <s v="Cyberfinancial"/>
    <s v="Bantotal"/>
    <s v="Data de prestamos"/>
    <s v="Generacion de UDA 1 y 2 para envio informacion Préstamos (UAT)"/>
    <s v="Técnica"/>
    <s v="Alta"/>
    <d v="2026-07-01T00:00:00"/>
    <m/>
    <s v="TBD"/>
    <m/>
    <s v="Sonia B."/>
    <b v="1"/>
    <x v="0"/>
    <s v="Canales Asistidos"/>
    <m/>
    <s v="N"/>
  </r>
  <r>
    <n v="97"/>
    <s v="Canal Asistidos"/>
    <s v="Mapa"/>
    <s v="MF-03780"/>
    <s v="Cyberfinancial"/>
    <s v="Cards &amp; Payments"/>
    <s v="Conciliación (TC)"/>
    <s v="Generacion de UDA 6 para envio de informacion TC (UAT)"/>
    <s v="Técnica"/>
    <s v="Alta"/>
    <d v="2026-07-01T00:00:00"/>
    <m/>
    <s v="TBD"/>
    <m/>
    <s v="Sonia B."/>
    <b v="1"/>
    <x v="0"/>
    <s v="Canales Asistidos"/>
    <m/>
    <s v="N"/>
  </r>
  <r>
    <n v="98"/>
    <s v="Canal Asistidos"/>
    <s v="Mapa"/>
    <s v="MF-03780"/>
    <s v="Cyberfinancial"/>
    <s v="Ciberseguridad"/>
    <s v="Comunicación entre DEV local y PRE ODS"/>
    <s v="Comunicacíón entre ambientes para probra el SFTP a ser utilizado en la carga diaria y One Shot"/>
    <s v="Técnica"/>
    <s v="Alta"/>
    <d v="2026-03-23T00:00:00"/>
    <m/>
    <s v="TBD"/>
    <m/>
    <s v="Sonia B."/>
    <b v="1"/>
    <x v="0"/>
    <s v="Canales Asistidos"/>
    <m/>
    <s v="S"/>
  </r>
  <r>
    <n v="99"/>
    <s v="Canal Asistidos"/>
    <s v="Mapa"/>
    <s v="MF-03790"/>
    <s v="Cyberfinancial"/>
    <s v="Data"/>
    <s v="Data de prestamos"/>
    <s v="Generacion de UDA 1 y 2 para envio informacion Préstamos (UAT)"/>
    <s v="Técnica"/>
    <s v="Alta"/>
    <d v="2026-07-01T00:00:00"/>
    <m/>
    <s v="TBD"/>
    <m/>
    <s v="Sonia B."/>
    <b v="1"/>
    <x v="2"/>
    <s v="Canales Asistidos"/>
    <m/>
    <s v="N"/>
  </r>
  <r>
    <n v="100"/>
    <s v="Canal Asistidos"/>
    <s v="Mapa"/>
    <s v="MF-03780"/>
    <s v="Cyberfinancial"/>
    <s v="Data"/>
    <s v="Data de prestamos"/>
    <s v="Generacion de UDA 1 y 2 para envio informacion Préstamos (UAT)"/>
    <s v="Técnica"/>
    <s v="Alta"/>
    <d v="2026-07-01T00:00:00"/>
    <m/>
    <s v="TBD"/>
    <m/>
    <s v="Sonia B."/>
    <b v="1"/>
    <x v="2"/>
    <s v="Canales Asistidos"/>
    <m/>
    <s v="N"/>
  </r>
  <r>
    <n v="101"/>
    <s v="Canal Asistidos"/>
    <s v="Mapa"/>
    <s v="MF-03770"/>
    <s v="Cyberfinancial"/>
    <s v="Data"/>
    <s v="Data de prestamos"/>
    <s v="Generacion de UDA 1 y 2 para envio informacion Préstamos (UAT)"/>
    <s v="Técnica"/>
    <s v="Alta"/>
    <d v="2026-07-01T00:00:00"/>
    <m/>
    <s v="TBD"/>
    <m/>
    <s v="Sonia B."/>
    <b v="1"/>
    <x v="2"/>
    <s v="Canales Asistidos"/>
    <m/>
    <s v="N"/>
  </r>
  <r>
    <n v="102"/>
    <s v="Canal Asistidos"/>
    <s v="Mapa"/>
    <s v="MF-03760"/>
    <s v="Cyberfinancial"/>
    <s v="Data"/>
    <s v="Data de prestamos"/>
    <s v="Generacion de UDA 1 y 2 para envio informacion Préstamos (UAT)"/>
    <s v="Técnica"/>
    <s v="Alta"/>
    <d v="2026-07-01T00:00:00"/>
    <m/>
    <s v="TBD"/>
    <m/>
    <s v="Sonia B."/>
    <b v="1"/>
    <x v="2"/>
    <s v="Canales Asistidos"/>
    <m/>
    <s v="N"/>
  </r>
  <r>
    <n v="103"/>
    <s v="Canal Asistidos"/>
    <s v="Mapa"/>
    <s v="MF-03750"/>
    <s v="Cyberfinancial"/>
    <s v="Data"/>
    <s v="Data de prestamos"/>
    <s v="Generacion de UDA 1 y 2 para envio informacion Préstamos (UAT)"/>
    <s v="Técnica"/>
    <s v="Alta"/>
    <d v="2026-07-01T00:00:00"/>
    <m/>
    <s v="TBD"/>
    <m/>
    <s v="Sonia B."/>
    <b v="1"/>
    <x v="2"/>
    <s v="Canales Asistidos"/>
    <m/>
    <s v="N"/>
  </r>
  <r>
    <n v="104"/>
    <s v="Canal Asistidos"/>
    <s v="Mapa"/>
    <s v="MF-03770"/>
    <s v="Cyberfinancial"/>
    <s v="Bantotal"/>
    <s v="Data de prestamos"/>
    <s v="Generacion de UDA 1 y 2 para envio informacion Préstamos (UAT)"/>
    <s v="Técnica"/>
    <s v="Alta"/>
    <d v="2026-07-01T00:00:00"/>
    <m/>
    <s v="TBD"/>
    <m/>
    <s v="Sonia B."/>
    <b v="1"/>
    <x v="0"/>
    <s v="Canales Asistidos"/>
    <m/>
    <s v="N"/>
  </r>
  <r>
    <n v="105"/>
    <s v="Canal Asistidos"/>
    <s v="Mapa"/>
    <s v="MF-03770"/>
    <s v="Cyberfinancial"/>
    <s v="Cards &amp; Payments"/>
    <s v="Conciliación (TC)"/>
    <s v="Generacion de UDA 6 para envio de informacion TC (UAT)"/>
    <s v="Técnica"/>
    <s v="Alta"/>
    <d v="2026-07-01T00:00:00"/>
    <m/>
    <s v="TBD"/>
    <m/>
    <s v="Sonia B."/>
    <b v="1"/>
    <x v="0"/>
    <s v="Canales Asistidos"/>
    <m/>
    <s v="N"/>
  </r>
  <r>
    <n v="106"/>
    <s v="Canal Asistidos"/>
    <s v="Mapa"/>
    <s v="MF-03770"/>
    <s v="Cyberfinancial"/>
    <s v="Ciberseguridad"/>
    <s v="Comunicación entre DEV local y PRE ODS"/>
    <s v="Comunicacíón entre ambientes para probra el SFTP a ser utilizado en la carga diaria y One Shot"/>
    <s v="Técnica"/>
    <s v="Alta"/>
    <d v="2026-03-23T00:00:00"/>
    <m/>
    <s v="TBD"/>
    <m/>
    <s v="Sonia B."/>
    <b v="1"/>
    <x v="0"/>
    <s v="Canales Asistidos"/>
    <m/>
    <s v="S"/>
  </r>
  <r>
    <n v="107"/>
    <s v="Canal Asistidos"/>
    <s v="Mapa"/>
    <s v="MF-03760"/>
    <s v="Cyberfinancial"/>
    <s v="Bantotal"/>
    <s v="Data de prestamos"/>
    <s v="Generacion de UDA 1 y 2 para envio informacion Préstamos (UAT)"/>
    <s v="Técnica"/>
    <s v="Alta"/>
    <d v="2026-07-01T00:00:00"/>
    <m/>
    <s v="TBD"/>
    <m/>
    <s v="Sonia B."/>
    <b v="1"/>
    <x v="0"/>
    <s v="Canales Asistidos"/>
    <m/>
    <s v="N"/>
  </r>
  <r>
    <n v="108"/>
    <s v="Canal Asistidos"/>
    <s v="Mapa"/>
    <s v="MF-03780"/>
    <s v="Cyberfinancial"/>
    <s v="Data"/>
    <s v="Conciliación (TC)"/>
    <s v="Generacion de UDA 6 para envio de informacion TC (UAT)"/>
    <s v="Técnica"/>
    <s v="Alta"/>
    <d v="2026-07-01T00:00:00"/>
    <m/>
    <s v="TBD"/>
    <m/>
    <s v="Sonia B."/>
    <b v="1"/>
    <x v="2"/>
    <s v="Canales Asistidos"/>
    <m/>
    <s v="N"/>
  </r>
  <r>
    <n v="109"/>
    <s v="Canal Asistidos"/>
    <s v="Mapa"/>
    <s v="MF-03770"/>
    <s v="Cyberfinancial"/>
    <s v="Data"/>
    <s v="Conciliación (TC)"/>
    <s v="Generacion de UDA 6 para envio de informacion TC (UAT)"/>
    <s v="Técnica"/>
    <s v="Alta"/>
    <d v="2026-07-01T00:00:00"/>
    <m/>
    <s v="TBD"/>
    <m/>
    <s v="Sonia B."/>
    <b v="1"/>
    <x v="2"/>
    <s v="Canales Asistidos"/>
    <m/>
    <s v="N"/>
  </r>
  <r>
    <n v="110"/>
    <s v="Canal Asistidos"/>
    <s v="Mapa"/>
    <s v="MF-03750"/>
    <s v="Cyberfinancial"/>
    <s v="Data"/>
    <s v="Conciliación (TC)"/>
    <s v="Generacion de UDA 6 para envio de informacion TC (UAT)"/>
    <s v="Técnica"/>
    <s v="Alta"/>
    <d v="2026-07-01T00:00:00"/>
    <m/>
    <s v="TBD"/>
    <m/>
    <s v="Sonia B."/>
    <b v="1"/>
    <x v="2"/>
    <s v="Canales Asistidos"/>
    <m/>
    <s v="N"/>
  </r>
  <r>
    <n v="111"/>
    <s v="Canal Asistidos"/>
    <s v="Mapa"/>
    <s v="MF-03750"/>
    <s v="Cyberfinancial"/>
    <s v="Cards &amp; Payments"/>
    <s v="Conciliación (TC)"/>
    <s v="Generacion de UDA 6 para envio de informacion TC (UAT)"/>
    <s v="Técnica"/>
    <s v="Alta"/>
    <d v="2026-07-01T00:00:00"/>
    <m/>
    <s v="TBD"/>
    <m/>
    <s v="Sonia B."/>
    <b v="1"/>
    <x v="0"/>
    <s v="Canales Asistidos"/>
    <m/>
    <s v="N"/>
  </r>
  <r>
    <n v="112"/>
    <s v="Canal Asistidos"/>
    <s v="Mapa"/>
    <s v="MF-03750"/>
    <s v="Cyberfinancial"/>
    <s v="Ciberseguridad"/>
    <s v="Comunicación entre DEV local y PRE ODS"/>
    <s v="Comunicacíón entre ambientes para probra el SFTP a ser utilizado en la carga diaria y One Shot"/>
    <s v="Técnica"/>
    <s v="Alta"/>
    <d v="2026-03-23T00:00:00"/>
    <m/>
    <s v="TBD"/>
    <m/>
    <s v="Sonia B."/>
    <b v="1"/>
    <x v="0"/>
    <s v="Canales Asistidos"/>
    <m/>
    <s v="S"/>
  </r>
  <r>
    <n v="113"/>
    <s v="Canal Asistidos"/>
    <s v="Mapa"/>
    <s v="MF-03750"/>
    <s v="Cyberfinancial"/>
    <s v="Modellica"/>
    <s v="Archivo LST - Estrategia de cobranzas"/>
    <s v="Disponibilizar archivo LST para estrategia cobranzas (UAT)"/>
    <s v="Técnica"/>
    <s v="Alta"/>
    <d v="2026-07-01T00:00:00"/>
    <m/>
    <d v="2026-10-15T00:00:00"/>
    <m/>
    <s v="Sonia B."/>
    <b v="1"/>
    <x v="2"/>
    <s v="Canales Asistidos"/>
    <m/>
    <s v="N"/>
  </r>
  <r>
    <n v="114"/>
    <s v="Canal Asistidos"/>
    <s v="Mapa"/>
    <s v="MF-03750"/>
    <s v="Cyberfinancial"/>
    <s v="Bantotal"/>
    <s v="Data de prestamos"/>
    <s v="Generacion de UDA 1 y 2 para envio informacion Préstamos (UAT)"/>
    <s v="Técnica"/>
    <s v="Alta"/>
    <d v="2026-07-01T00:00:00"/>
    <m/>
    <s v="TBD"/>
    <m/>
    <s v="Sonia B."/>
    <b v="1"/>
    <x v="0"/>
    <s v="Canales Asistidos"/>
    <m/>
    <s v="N"/>
  </r>
  <r>
    <n v="115"/>
    <s v="Canal Asistidos"/>
    <s v="Mapa"/>
    <s v="MF-03740"/>
    <s v="SPACE"/>
    <s v="Negocio"/>
    <s v="Definición de tipos de campañas"/>
    <s v="Configuración de campañas para agente de servicio"/>
    <s v="Funcional"/>
    <s v="Medio"/>
    <d v="2026-03-31T00:00:00"/>
    <m/>
    <m/>
    <m/>
    <s v="Sonia B."/>
    <b v="1"/>
    <x v="1"/>
    <s v="Canales Asistidos"/>
    <m/>
    <s v="S"/>
  </r>
  <r>
    <n v="116"/>
    <s v="Canal Asistidos"/>
    <s v="Mapa"/>
    <s v="MF-03730"/>
    <s v="SPACE"/>
    <s v="Negocio"/>
    <s v="Definición de tipos de campañas"/>
    <s v="Configuración de campañas para agente de cobranza"/>
    <s v="Funcional"/>
    <s v="Medio"/>
    <d v="2026-03-31T00:00:00"/>
    <m/>
    <m/>
    <m/>
    <s v="Sonia B."/>
    <b v="1"/>
    <x v="1"/>
    <s v="Canales Asistidos"/>
    <m/>
    <s v="S"/>
  </r>
  <r>
    <n v="117"/>
    <s v="Canal Asistidos"/>
    <s v="Mapa"/>
    <s v="MF-03450"/>
    <s v="Cyberfinancial"/>
    <s v="Modellica"/>
    <s v="Archivo LST - Estrategia de cobranzas"/>
    <s v="Disponibilizar archivo LST para estrategia cobranzas (UAT)"/>
    <s v="Técnica"/>
    <s v="Alta"/>
    <d v="2026-07-01T00:00:00"/>
    <m/>
    <d v="2026-10-15T00:00:00"/>
    <m/>
    <s v="Sonia B."/>
    <b v="1"/>
    <x v="2"/>
    <s v="Canales Asistidos"/>
    <m/>
    <s v="N"/>
  </r>
  <r>
    <n v="118"/>
    <s v="Canal Asistidos"/>
    <s v="Mapa"/>
    <s v="MF-03440"/>
    <s v="SPACE"/>
    <s v="Negocio"/>
    <s v="Definir los roles para contact center"/>
    <s v="Configuracion de Roles Genesys cloud"/>
    <s v="Funcional"/>
    <s v="Medio"/>
    <d v="2026-03-31T00:00:00"/>
    <m/>
    <m/>
    <m/>
    <s v="Sonia B."/>
    <b v="1"/>
    <x v="0"/>
    <s v="Canales Asistidos"/>
    <m/>
    <s v="S"/>
  </r>
  <r>
    <n v="119"/>
    <s v="Canal Asistidos"/>
    <s v="Mapa"/>
    <s v="MF-03430"/>
    <s v="SPACE"/>
    <s v="Negocio"/>
    <s v="Definir los roles para contact center"/>
    <s v="Configuracion de Roles Contact Center"/>
    <s v="Funcional"/>
    <s v="Medio"/>
    <d v="2026-03-31T00:00:00"/>
    <m/>
    <m/>
    <m/>
    <s v="Sonia B."/>
    <b v="1"/>
    <x v="0"/>
    <s v="Canales Asistidos"/>
    <m/>
    <s v="S"/>
  </r>
  <r>
    <n v="120"/>
    <s v="Canal Asistidos"/>
    <s v="Mapa"/>
    <s v="MF-03420"/>
    <s v="SPACE"/>
    <s v="Negocio"/>
    <s v="Definir los roles para agencias"/>
    <s v="Configuracion de Roles Agencias"/>
    <s v="Funcional"/>
    <s v="Medio"/>
    <d v="2026-03-31T00:00:00"/>
    <m/>
    <m/>
    <m/>
    <s v="Sonia B."/>
    <b v="1"/>
    <x v="0"/>
    <s v="Canales Asistidos"/>
    <m/>
    <s v="S"/>
  </r>
  <r>
    <n v="121"/>
    <s v="Canal Asistidos"/>
    <s v="Mapa"/>
    <s v="MF-03410"/>
    <s v="SPACE"/>
    <s v="Negocio"/>
    <s v="Definición de segmentos de cliente"/>
    <s v="Confirmar los segmentos para que se derive a las colas de asesores dentro de la integración con IVR"/>
    <s v="Técnica"/>
    <s v="Medio"/>
    <d v="2026-08-07T00:00:00"/>
    <m/>
    <m/>
    <m/>
    <s v="Sonia B."/>
    <b v="1"/>
    <x v="1"/>
    <s v="Canales Asistidos"/>
    <m/>
    <s v="N"/>
  </r>
  <r>
    <n v="122"/>
    <s v="Canal Asistidos"/>
    <s v="Mapa"/>
    <s v="MF-03400"/>
    <s v="SPACE"/>
    <s v="Data"/>
    <s v="Definir la información que se requiere enviar al Datalake"/>
    <s v="Configuracion de reportes Contact Center"/>
    <s v="Funcional"/>
    <s v="Medio"/>
    <d v="2026-06-26T00:00:00"/>
    <m/>
    <m/>
    <m/>
    <s v="Sonia B."/>
    <b v="1"/>
    <x v="1"/>
    <s v="Canales Asistidos"/>
    <m/>
    <s v="N"/>
  </r>
  <r>
    <n v="123"/>
    <s v="Canal Asistidos"/>
    <s v="Mapa"/>
    <s v="MF-03390"/>
    <s v="SPACE"/>
    <s v="Data"/>
    <s v="Definir la información que se requiere enviar al Datalake"/>
    <s v="Configuracion de reportes Agencia"/>
    <s v="Funcional"/>
    <s v="Medio"/>
    <d v="2026-06-26T00:00:00"/>
    <m/>
    <m/>
    <m/>
    <s v="Sonia B."/>
    <b v="1"/>
    <x v="1"/>
    <s v="Canales Asistidos"/>
    <m/>
    <s v="N"/>
  </r>
  <r>
    <n v="124"/>
    <s v="Canal Asistidos"/>
    <s v="Mapa"/>
    <s v="MF-03380"/>
    <s v="Reclamos y Dalis"/>
    <s v="Izipay"/>
    <s v="Integración &amp; Conectividad"/>
    <s v="Integración tipo batch para la comunicación entre IZIPAY y BANTOTAL para el sistema de reclamos y DALIs – canal Contact Center"/>
    <s v="Técnica"/>
    <s v="Alta"/>
    <d v="2026-10-30T00:00:00"/>
    <m/>
    <d v="2026-10-30T00:00:00"/>
    <s v="Se Probará en Junio con Simuladores en UAT"/>
    <s v="Fredy C."/>
    <b v="1"/>
    <x v="1"/>
    <s v="Canales Asistidos"/>
    <m/>
    <s v="N"/>
  </r>
  <r>
    <n v="125"/>
    <s v="Canal Asistidos"/>
    <s v="Mapa"/>
    <s v="MF-03330"/>
    <s v="Reclamos y Dalis"/>
    <s v="Izipay"/>
    <s v="Integración &amp; Conectividad"/>
    <s v="Integración tipo batch para la comunicación entre IZIPAY y BANTOTAL para el sistema de reclamos y DALIs – canal Agencia."/>
    <s v="Técnica"/>
    <s v="Alta"/>
    <d v="2026-10-30T00:00:00"/>
    <m/>
    <d v="2026-10-30T00:00:00"/>
    <s v="Se Probará en Junio con Simuladores en UAT"/>
    <s v="Fredy C."/>
    <b v="1"/>
    <x v="1"/>
    <s v="Canales Asistidos"/>
    <m/>
    <s v="N"/>
  </r>
  <r>
    <n v="126"/>
    <s v="Canal Asistidos"/>
    <s v="Mapa"/>
    <s v="MF-03330"/>
    <s v="Reclamos y Dalis"/>
    <s v="Infraestructura"/>
    <s v="Control M"/>
    <s v="Control M: transferencia de archivos"/>
    <s v="Técnica"/>
    <s v="Medio"/>
    <d v="2026-04-15T00:00:00"/>
    <m/>
    <m/>
    <m/>
    <s v="Sonia B."/>
    <b v="1"/>
    <x v="1"/>
    <s v="Canales Asistidos"/>
    <m/>
    <s v="S"/>
  </r>
  <r>
    <n v="127"/>
    <s v="Canal Asistidos"/>
    <s v="Mapa"/>
    <s v="MF-03315"/>
    <s v="SPACE"/>
    <s v="ODS"/>
    <s v="Definición de herramienta a usar"/>
    <s v="Definir que herramienta se usara para llamadas en las agencias"/>
    <s v="Infraestructura"/>
    <s v="Alta"/>
    <d v="2026-06-05T00:00:00"/>
    <m/>
    <m/>
    <m/>
    <s v="Sonia B."/>
    <b v="1"/>
    <x v="1"/>
    <s v="Canales Asistidos"/>
    <m/>
    <s v="N"/>
  </r>
  <r>
    <n v="128"/>
    <s v="Canal Asistidos"/>
    <s v="Mapa"/>
    <s v="MF-03310"/>
    <s v="SPACE"/>
    <s v="ODS"/>
    <s v="Definición de herramienta a usar"/>
    <s v="Definir que herramienta se usara para llamadas en las agencias"/>
    <s v="Infraestructura"/>
    <s v="Alta"/>
    <d v="2026-06-05T00:00:00"/>
    <m/>
    <m/>
    <m/>
    <s v="Sonia B."/>
    <b v="1"/>
    <x v="1"/>
    <s v="Canales Asistidos"/>
    <m/>
    <s v="N"/>
  </r>
  <r>
    <n v="129"/>
    <s v="Canal Asistidos"/>
    <s v="Mapa"/>
    <s v="MF-03305"/>
    <s v="SPACE"/>
    <s v="Infraestructura"/>
    <s v="Conectividad"/>
    <s v="Central Telefonica"/>
    <s v="Técnica"/>
    <m/>
    <d v="2026-06-05T00:00:00"/>
    <m/>
    <m/>
    <m/>
    <s v="Sonia B."/>
    <b v="1"/>
    <x v="1"/>
    <s v="Canales Asistidos"/>
    <m/>
    <s v="N"/>
  </r>
  <r>
    <n v="130"/>
    <s v="Canal Asistidos"/>
    <s v="Mapa"/>
    <s v="MF-03300"/>
    <s v="SPACE"/>
    <s v="Infraestructura"/>
    <s v="Conectividad"/>
    <s v="Central Telefonica"/>
    <s v="Técnica"/>
    <m/>
    <d v="2026-06-05T00:00:00"/>
    <m/>
    <m/>
    <m/>
    <s v="Sonia B."/>
    <b v="1"/>
    <x v="1"/>
    <s v="Canales Asistidos"/>
    <m/>
    <s v="N"/>
  </r>
  <r>
    <n v="131"/>
    <s v="Canal Asistidos"/>
    <s v="Mapa"/>
    <s v="MF-00180"/>
    <s v="SPACE"/>
    <s v="Infraestructura"/>
    <s v="Habilitacion de telefonía CC"/>
    <s v="Habilitacion de telefonía para el contact center"/>
    <s v="Infraestructura"/>
    <s v="Alta"/>
    <d v="2026-06-05T00:00:00"/>
    <m/>
    <m/>
    <m/>
    <s v="Sonia B."/>
    <b v="1"/>
    <x v="1"/>
    <s v="Canales Asistidos"/>
    <m/>
    <s v="N"/>
  </r>
  <r>
    <n v="132"/>
    <s v="Canal Asistidos"/>
    <s v="Mapa"/>
    <m/>
    <s v="Genesys Cloud"/>
    <m/>
    <s v="Fila 237 (Generación de data para analítica)"/>
    <s v="Contar con Datalake para almacenamiento de información"/>
    <m/>
    <m/>
    <m/>
    <m/>
    <m/>
    <m/>
    <m/>
    <b v="1"/>
    <x v="1"/>
    <m/>
    <m/>
    <s v="N"/>
  </r>
  <r>
    <n v="133"/>
    <s v="Canal Asistidos"/>
    <s v="Mapa"/>
    <m/>
    <s v="Genesys Cloud"/>
    <m/>
    <s v="Fila 238 (Generación de data para analítica)"/>
    <s v="Contar con Datalake para almacenamiento de información"/>
    <m/>
    <m/>
    <m/>
    <m/>
    <m/>
    <m/>
    <m/>
    <b v="1"/>
    <x v="1"/>
    <m/>
    <m/>
    <s v="N"/>
  </r>
  <r>
    <n v="134"/>
    <s v="Canal Asistidos"/>
    <s v="Mapa"/>
    <s v="P-95"/>
    <s v="Cyberfinancial"/>
    <s v="Negocio"/>
    <s v="Validación de formatos blancos 1, 2 y 6"/>
    <s v="Validación de formatos blancos 1, 2 y 6"/>
    <s v="Técnica"/>
    <s v="Alta"/>
    <d v="2026-04-01T00:00:00"/>
    <m/>
    <d v="2026-04-01T00:00:00"/>
    <m/>
    <s v="Sonia B."/>
    <b v="1"/>
    <x v="2"/>
    <s v="Canales Asistidos"/>
    <m/>
    <s v="S"/>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
  <r>
    <n v="1"/>
    <s v="Canal Digital"/>
    <s v="Mapa"/>
    <s v="App-Login"/>
    <s v="Canal Digital"/>
    <s v="Interno-negocio SCB"/>
    <s v="Deficion Filtros - query de listado de clientes BT para crear usuario digital en SSS-Dynamo."/>
    <s v="Definir en conjunto con Angela y Carina los filtros a considerar en el query de consulta a la BD Bantotal para obtener listado de clientes a migrar a SSS-Dynamo para que se creen los usuarios digitales con clave en blanco(para resetear)."/>
    <s v="Funcional"/>
    <s v="Medio"/>
    <d v="2026-02-05T00:00:00"/>
    <d v="2026-03-23T00:00:00"/>
    <d v="2026-05-01T00:00:00"/>
    <m/>
    <s v="Angela "/>
    <b v="1"/>
    <x v="0"/>
    <s v="Digital"/>
    <s v="- Confirmar fecha"/>
    <s v="S"/>
  </r>
  <r>
    <n v="2"/>
    <s v="Canal Digital"/>
    <s v="Mapa"/>
    <s v="App-Login"/>
    <s v="Canal Digital"/>
    <s v="ODS"/>
    <s v="Definir por parte de SSS la ruta donde desea que llegue el archivo de clientes migrados"/>
    <m/>
    <s v="Técnica"/>
    <s v="Medio"/>
    <d v="2026-02-05T00:00:00"/>
    <d v="2026-05-04T00:00:00"/>
    <m/>
    <m/>
    <s v="ODS"/>
    <b v="1"/>
    <x v="0"/>
    <m/>
    <m/>
    <s v="S"/>
  </r>
  <r>
    <n v="3"/>
    <s v="Canal Digital"/>
    <s v="Mapa"/>
    <s v="App-Login"/>
    <s v="Canal Digital"/>
    <s v="ODS"/>
    <s v="Procedimiento en SSS para carga de archivo de clientes migrados"/>
    <s v="contar con Procedimiento/script implementado por SSS para cargar de archivo de clientes migrados. "/>
    <s v="Técnica"/>
    <s v="Medio"/>
    <d v="2026-02-05T00:00:00"/>
    <d v="2026-10-04T00:00:00"/>
    <s v="TBD"/>
    <m/>
    <s v="Virginia C."/>
    <b v="1"/>
    <x v="1"/>
    <s v="Digital"/>
    <s v="- Confirmar fecha"/>
    <s v="S"/>
  </r>
  <r>
    <n v="4"/>
    <s v="Canal Digital"/>
    <s v="Mapa"/>
    <s v="App-Recuperar Contraseña"/>
    <s v="Canal Digital"/>
    <s v="Prevencion de fraudes"/>
    <s v="Definicion de trama (campos) requerida por PF para monitorear la funcionalidad de recuperar contraseña"/>
    <s v="Ya se han realizado sessiones de trabajo con equipo de prevencion de fraudes y definido tramas para las funcionalidades del P1 , solo estaría quedando pendiente para el P1 la trama para la funcionalidad de recuperar contraseña"/>
    <s v="Funcional"/>
    <s v="Baja"/>
    <d v="2026-02-05T00:00:00"/>
    <d v="2026-05-02T00:00:00"/>
    <s v="TBD"/>
    <m/>
    <s v="Maria Flores"/>
    <b v="1"/>
    <x v="2"/>
    <s v="Digital"/>
    <s v="- Confirmar fecha"/>
    <s v="S"/>
  </r>
  <r>
    <n v="5"/>
    <s v="Canal Digital"/>
    <s v="Mapa"/>
    <s v="App-Pago de Tarjeta de credito"/>
    <s v="Canal Digital"/>
    <s v="CM"/>
    <s v="Disponibilidad del CM en ambiente TEST para configurar plantilla de notificacion"/>
    <s v="Disponibilidad del CM en ambiente TEST para configurar plantilla de notificacion"/>
    <s v="Técnica"/>
    <s v="Medio"/>
    <d v="2026-04-15T00:00:00"/>
    <m/>
    <s v="TBD"/>
    <m/>
    <s v="New LT CM"/>
    <b v="0"/>
    <x v="1"/>
    <s v="Digital"/>
    <m/>
    <s v="S"/>
  </r>
  <r>
    <n v="6"/>
    <s v="Canal Digital"/>
    <s v="Mapa"/>
    <s v="App - Interoperabilidad"/>
    <s v="Canal Digital"/>
    <s v="BT / Apis Globales / CD"/>
    <s v="Definir apis requeridas que BT tiene que implementar para interoperabilidad"/>
    <s v="Sessiones de trabajo en conjunto con Bantotal, apis globales, Payments y canales digitales para definir las apis que BT debe implementar para soportar y probar la funcionalidad de Interoperabilidad"/>
    <s v="Técnica"/>
    <s v="Alta"/>
    <d v="2026-04-15T00:00:00"/>
    <m/>
    <s v="TBD"/>
    <m/>
    <s v="Arnol Ingunza"/>
    <b v="0"/>
    <x v="1"/>
    <s v="Digital"/>
    <m/>
    <s v="S"/>
  </r>
  <r>
    <n v="7"/>
    <s v="Canal Digital"/>
    <s v="Mapa"/>
    <s v="App - Interoperabilidad"/>
    <s v="Canal Digital"/>
    <s v="BT"/>
    <s v="plan de apis BT de interoperabilidad"/>
    <s v="posterior a session de definicion de apis BT , se debe obtener un plan de apis con fechas comprometidas en las que se van a poder utilizar por el canal App"/>
    <s v="Técnica"/>
    <s v="Alta"/>
    <d v="2026-04-22T00:00:00"/>
    <m/>
    <s v="TBD"/>
    <m/>
    <s v="Julio Palomino"/>
    <b v="0"/>
    <x v="1"/>
    <s v="Digital"/>
    <m/>
    <s v="S"/>
  </r>
  <r>
    <n v="8"/>
    <s v="Canal Digital"/>
    <s v="Mapa"/>
    <s v="App - transferencias inmediatas interbancarias"/>
    <s v="Canal Digital"/>
    <s v="ODS"/>
    <s v="Publicacion de cambios tecnicos por version ODS R10"/>
    <s v="Analisis de impacto posterior a la publicacion de cambios tecnicos por R10 (comentado para fin de abril) para la implementacion de funcionalidad de transferencias inmediatas"/>
    <s v="Técnica"/>
    <s v="Alta"/>
    <d v="2026-02-05T00:00:00"/>
    <d v="2026-05-02T00:00:00"/>
    <s v="TBD"/>
    <m/>
    <s v="Ana Marcos"/>
    <b v="0"/>
    <x v="1"/>
    <s v="Digital"/>
    <s v="- Confirmar fecha"/>
    <s v="S"/>
  </r>
  <r>
    <n v="9"/>
    <s v="Canal Digital"/>
    <s v="Mapa"/>
    <s v="App - Pago de prestamo"/>
    <s v="Canal Digital"/>
    <s v="ODS"/>
    <s v="liberacion de nueva version ODS R10 para el programa Perú"/>
    <s v="Revisión funcional, tecnica y de experiencia post liberacion de nueva version R10 ODS"/>
    <s v="Técnica"/>
    <s v="Alta"/>
    <d v="2026-02-07T00:00:00"/>
    <d v="2026-07-02T00:00:00"/>
    <s v="TBD"/>
    <m/>
    <s v="Ana Marcos"/>
    <b v="0"/>
    <x v="2"/>
    <s v="Digital"/>
    <s v="- Confirmar fecha_x000a_- Donde está la solicitud"/>
    <s v="S"/>
  </r>
  <r>
    <n v="10"/>
    <s v="Canal Digital"/>
    <s v="Mapa"/>
    <s v="App - Enrolamiento del dispositivo de confianza"/>
    <s v="Canal Digital"/>
    <s v="ODS"/>
    <s v="liberar capacidad de biometría con Reniec de parte de ODS en R10 para enrolamiento dispositivo"/>
    <s v="liberar capacidad de biometría con Reniec de parte de ODS en R10 para incluirlo como reto de seguridad en enrolamiento de dispositivo."/>
    <s v="Técnica"/>
    <s v="Alta"/>
    <d v="2026-02-07T00:00:00"/>
    <d v="2026-07-02T00:00:00"/>
    <s v="TBD"/>
    <m/>
    <s v="Ana Marcos"/>
    <b v="0"/>
    <x v="2"/>
    <s v="Digital"/>
    <s v="- Confirmar fecha_x000a_- Donde está la solicitud"/>
    <s v="S"/>
  </r>
  <r>
    <n v="11"/>
    <s v="Canal Digital"/>
    <s v="Mapa"/>
    <s v="App-Cross"/>
    <s v="Canal Digital"/>
    <s v="ODS"/>
    <s v="Publicacion de apis impactadas por version ODS R10"/>
    <s v="Se requiere la publicacion del listado de apis globales a consumir por el canal, impactadas por nueva version ODS con su detalle respectivo. Con ello realizar una analisis general de impacto en  todas las funcionalidades del canal"/>
    <s v="Técnica"/>
    <s v="Alta"/>
    <d v="2026-02-05T00:00:00"/>
    <d v="2026-05-02T00:00:00"/>
    <s v="TBD"/>
    <m/>
    <s v="Ana Marcos"/>
    <b v="0"/>
    <x v="1"/>
    <s v="Digital"/>
    <s v="- Confirmar fecha_x000a_- Donde está la solicitud"/>
    <s v="S"/>
  </r>
  <r>
    <n v="12"/>
    <s v="Canal Digital"/>
    <s v="Mapa"/>
    <s v="App-Cross"/>
    <s v="Canal Digital"/>
    <s v="ODS"/>
    <s v="Figmas tropicalizados Peru de Funcionalidades PI2"/>
    <s v="Diseño de Figmas Tropicalizados de PI2 (Cards, Frontend Services, Security, Loans, PG, Deposits)"/>
    <s v="Funcional"/>
    <s v="Alta"/>
    <d v="2026-03-20T00:00:00"/>
    <m/>
    <d v="2026-03-20T00:00:00"/>
    <m/>
    <s v="Ana Marcos"/>
    <b v="1"/>
    <x v="0"/>
    <s v="Digital"/>
    <s v="De las epicas 14 ya solicitadas - ok_x000a_"/>
    <s v="S"/>
  </r>
  <r>
    <n v="13"/>
    <s v="Canal Digital"/>
    <s v="Mapa"/>
    <s v="App-Cross"/>
    <s v="Canal Digital"/>
    <s v="ODS"/>
    <s v="scripts de pruebas automatizadas de PI 1 subidos en su GITHUB "/>
    <s v="Lo coordinado con ODS es que compartan sus scripts automatizados para hacerle adecuaciones para ejecucion de pruebas end to end Perú. se espera que estos scripts lleguen a finales de marzo, maximo primera semana de abril (funcionalidades :device manager, app information, customer landing, personal detail, account detail)"/>
    <s v="Técnica"/>
    <s v="Medio"/>
    <d v="2026-03-31T00:00:00"/>
    <m/>
    <d v="2026-08-04T00:00:00"/>
    <m/>
    <s v="Ana Marcos"/>
    <b v="0"/>
    <x v="2"/>
    <s v="Digital"/>
    <m/>
    <s v="S"/>
  </r>
  <r>
    <n v="14"/>
    <s v="Canal Digital"/>
    <s v="Mapa"/>
    <s v="App-Cross"/>
    <s v="Canal Digital"/>
    <s v="ODS"/>
    <s v="entrega de apis globales PI 2 - en fechas planificadas"/>
    <s v="Contar con la entrega de endpoints planificados para el PI 2 :_x000a_-D0-046-V3, D1-078, D1-081, D1-084, D1-001_x000a_-D1-111_v2, D1-169, D1-173, D1-204, D1-002_x000a_-D0-072_v2, D1-120, D1-121, D2-001, D1-007_x000a_"/>
    <s v="Técnica"/>
    <s v="Medio"/>
    <d v="2026-10-04T00:00:00"/>
    <m/>
    <d v="2026-10-04T00:00:00"/>
    <m/>
    <s v="Ana Marcos"/>
    <b v="0"/>
    <x v="2"/>
    <s v="Digital"/>
    <m/>
    <s v="N"/>
  </r>
  <r>
    <n v="15"/>
    <s v="Canal Digital"/>
    <s v="Mapa"/>
    <s v="App-Cross"/>
    <s v="Canal Digital"/>
    <s v="ODS"/>
    <s v="Figmas tropicalizados Peru de Funcionalidades PI2 ampliado"/>
    <s v="Se ha solicita 3 épicas adicionales, pendiente entrega de los figmas personalizados"/>
    <s v="Funcional"/>
    <s v="Media"/>
    <d v="2026-04-30T00:00:00"/>
    <m/>
    <d v="2026-04-30T00:00:00"/>
    <m/>
    <s v="Ana Marcos"/>
    <b v="1"/>
    <x v="3"/>
    <m/>
    <s v="De las nuevas solicitudes, la fecha de entrega es al 30/04"/>
    <s v="S"/>
  </r>
  <r>
    <n v="16"/>
    <s v="Canal Digital"/>
    <s v="Mapa"/>
    <s v="PG: Espacios conversacionales - ofertas preaprobadas"/>
    <s v="Canal Digital"/>
    <s v="Canal digital-equipo interno"/>
    <s v="Implementar un front backoffice para gestionar las imagenes y estilos para espacios conversacionales"/>
    <s v="Implementar un front backoffice para gestionar las imagenes y los estilos de  titulos y textos a mostrar en los espacios conversaciones que es el primer paso para un proceso de contracting."/>
    <s v="Técnica"/>
    <s v="Medio"/>
    <d v="2026-08-01T00:00:00"/>
    <d v="2026-08-01T00:00:00"/>
    <d v="2026-01-08T00:00:00"/>
    <m/>
    <s v="Luis Rosales"/>
    <b v="1"/>
    <x v="1"/>
    <s v="Digital"/>
    <s v="- Revisar fecha"/>
    <s v="N"/>
  </r>
  <r>
    <n v="17"/>
    <s v="Canal Digital"/>
    <s v="Mapa"/>
    <s v="PG : Visualizar lista de productos disponibles del cliente"/>
    <s v="Canal Digital"/>
    <s v="Negocio Pasivos"/>
    <s v="Cerrar estados de tarjetas de credito"/>
    <s v="Se necesita que negocio cierre todos los estados que pueda manejar las tarjetas de Crédito dentro de Izipay por ello se debe de hacer una mesa de trabajo con el BB de Cards después que se defina que tarjetas de crédito quiere mostrar en la app. "/>
    <s v="Funcional"/>
    <s v="Baja"/>
    <d v="2026-04-01T00:00:00"/>
    <d v="2026-04-01T00:00:00"/>
    <d v="2026-01-04T00:00:00"/>
    <m/>
    <s v="Angela Verde"/>
    <b v="1"/>
    <x v="0"/>
    <s v="Digital"/>
    <s v="Se obtuvo VB con el negocio, Henry envía evidencia"/>
    <s v="S"/>
  </r>
  <r>
    <n v="18"/>
    <s v="Canal Digital"/>
    <s v="Mapa"/>
    <s v="Visualización del listado de tarjetas ( TC y TD)"/>
    <s v="Canal Digital"/>
    <s v="Cards"/>
    <s v="Implementar backend cards para reemplazar backend simulado que consume apis globales"/>
    <s v="Actualmente las apis globales de cards utilizan simuladores para el backend de cards , por lo cual se necesita se reemplace por el backend formal para completar una prueba real"/>
    <s v="Técnica"/>
    <s v="Alta"/>
    <d v="2026-05-15T00:00:00"/>
    <m/>
    <m/>
    <m/>
    <m/>
    <b v="0"/>
    <x v="4"/>
    <m/>
    <m/>
    <s v="N"/>
  </r>
  <r>
    <n v="19"/>
    <s v="Canal Digital"/>
    <s v="Mapa"/>
    <s v="Pago de TC ( mínimo|total mes|Voluntario)"/>
    <s v="Canal Digital"/>
    <s v="Cards"/>
    <s v="Implementar backend cards para reemplazar backend simulado en operacion monetaria"/>
    <s v="Actualmente las apis globales de cards utilizan simuladores para el backend de cards, lo cual no permite generar el end to end que incluya la contabilidad"/>
    <s v="Técnica"/>
    <s v="Alta"/>
    <d v="2026-05-15T00:00:00"/>
    <m/>
    <m/>
    <m/>
    <m/>
    <b v="0"/>
    <x v="4"/>
    <m/>
    <m/>
    <s v="N"/>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5">
  <r>
    <s v="Plan"/>
    <s v="P-391"/>
    <x v="0"/>
    <x v="0"/>
    <s v="Conectividad"/>
    <x v="0"/>
    <s v="Técnica"/>
    <s v="Alta"/>
    <d v="2026-03-30T00:00:00"/>
    <m/>
    <d v="2026-03-30T00:00:00"/>
    <m/>
    <s v="Cesar Villanueva"/>
    <b v="1"/>
    <s v="4.Resuelta"/>
    <s v="Canales Asistidos"/>
  </r>
  <r>
    <s v="Plan"/>
    <s v="P-360"/>
    <x v="1"/>
    <x v="1"/>
    <s v="Control M"/>
    <x v="1"/>
    <s v="Técnica"/>
    <s v="Medio"/>
    <d v="2026-04-15T00:00:00"/>
    <m/>
    <m/>
    <m/>
    <s v="Sonia B."/>
    <b v="1"/>
    <s v="1.Identificada"/>
    <s v="Canales Asistidos"/>
  </r>
  <r>
    <s v="Plan"/>
    <s v="P-360"/>
    <x v="1"/>
    <x v="1"/>
    <s v="Habilitacion de accesos"/>
    <x v="2"/>
    <s v="Técnica"/>
    <s v="Medio"/>
    <d v="2026-03-31T00:00:00"/>
    <m/>
    <m/>
    <m/>
    <s v="Sonia B."/>
    <b v="1"/>
    <s v="1.Identificada"/>
    <s v="Canales Asistidos"/>
  </r>
  <r>
    <s v="Plan"/>
    <s v="P-353"/>
    <x v="1"/>
    <x v="2"/>
    <s v="Integracion Entra ID"/>
    <x v="3"/>
    <s v="Técnica"/>
    <s v="Medio"/>
    <d v="2026-08-07T00:00:00"/>
    <m/>
    <m/>
    <m/>
    <s v="Sonia B."/>
    <b v="1"/>
    <s v="1.Identificada"/>
    <s v="Canales Asistidos"/>
  </r>
  <r>
    <s v="Plan"/>
    <s v="P-349"/>
    <x v="1"/>
    <x v="3"/>
    <s v="Carga inicial"/>
    <x v="4"/>
    <s v="Técnica"/>
    <s v="Medio"/>
    <d v="2026-07-31T00:00:00"/>
    <m/>
    <m/>
    <m/>
    <s v="Sonia B."/>
    <b v="1"/>
    <s v="1.Identificada"/>
    <s v="Canales Asistidos"/>
  </r>
  <r>
    <s v="Plan"/>
    <s v="P-169"/>
    <x v="1"/>
    <x v="4"/>
    <s v="Integracion"/>
    <x v="3"/>
    <s v="Técnica"/>
    <s v="Medio"/>
    <d v="2026-04-24T00:00:00"/>
    <m/>
    <m/>
    <m/>
    <s v="Sonia B."/>
    <b v="1"/>
    <s v="1.Identificada"/>
    <s v="Canales Asistidos"/>
  </r>
  <r>
    <s v="Plan"/>
    <s v="P-031"/>
    <x v="2"/>
    <x v="5"/>
    <s v="Habilitación para integración con entraID"/>
    <x v="5"/>
    <s v="Técnica"/>
    <s v="Baja"/>
    <d v="2026-06-15T00:00:00"/>
    <m/>
    <s v="TBD"/>
    <m/>
    <s v="Cesar Villanueva"/>
    <b v="1"/>
    <s v="1.Identificada"/>
    <s v="Canales Asistidos"/>
  </r>
  <r>
    <s v="Mapa"/>
    <s v="MF-06210"/>
    <x v="3"/>
    <x v="6"/>
    <s v="Migracion"/>
    <x v="6"/>
    <s v="Técnica"/>
    <s v="Alta"/>
    <d v="2026-06-12T00:00:00"/>
    <m/>
    <s v="TBD"/>
    <m/>
    <s v="Sonia B."/>
    <b v="1"/>
    <s v="2.Solicitada"/>
    <s v="Canales Asistidos"/>
  </r>
  <r>
    <s v="Mapa"/>
    <s v="MF-05967"/>
    <x v="0"/>
    <x v="6"/>
    <s v="Migracion"/>
    <x v="7"/>
    <s v="Funcional"/>
    <s v="Medio"/>
    <d v="2026-06-26T00:00:00"/>
    <m/>
    <m/>
    <m/>
    <s v="Jean Paul"/>
    <b v="1"/>
    <s v="1.Identificada"/>
    <s v="Canales Asistidos"/>
  </r>
  <r>
    <s v="Mapa"/>
    <s v="MF-05940"/>
    <x v="2"/>
    <x v="7"/>
    <s v="Definición de modificaciones de documentos"/>
    <x v="8"/>
    <s v="Funcional"/>
    <s v="Baja"/>
    <d v="2026-04-17T00:00:00"/>
    <m/>
    <s v="TBD"/>
    <m/>
    <s v="Jorge Urrutia"/>
    <b v="1"/>
    <s v="1.Identificada"/>
    <s v="Canales Asistidos"/>
  </r>
  <r>
    <s v="Mapa"/>
    <s v="MF-05890"/>
    <x v="2"/>
    <x v="7"/>
    <s v="Definición de notificaciones"/>
    <x v="9"/>
    <s v="Funcional"/>
    <s v="Baja"/>
    <d v="2026-06-15T00:00:00"/>
    <m/>
    <s v="TBD"/>
    <m/>
    <s v="Jorge Urrutia"/>
    <b v="1"/>
    <s v="1.Identificada"/>
    <s v="Canales Asistidos"/>
  </r>
  <r>
    <s v="Mapa"/>
    <s v="MF-05880"/>
    <x v="2"/>
    <x v="7"/>
    <s v="Definición de checklist de documentos por rechazo"/>
    <x v="10"/>
    <s v="Funcional"/>
    <s v="Medio"/>
    <d v="2026-06-15T00:00:00"/>
    <m/>
    <s v="TBD"/>
    <m/>
    <s v="Jorge Urrutia"/>
    <b v="1"/>
    <s v="1.Identificada"/>
    <s v="Canales Asistidos"/>
  </r>
  <r>
    <s v="Mapa"/>
    <s v="MF-05870"/>
    <x v="2"/>
    <x v="8"/>
    <s v="Apis"/>
    <x v="11"/>
    <s v="Técnica"/>
    <s v="Alta"/>
    <d v="2026-06-15T00:00:00"/>
    <m/>
    <s v="TBD"/>
    <m/>
    <s v="Jaime H."/>
    <b v="1"/>
    <s v="2.Solicitada"/>
    <s v="Canales Asistidos"/>
  </r>
  <r>
    <s v="Mapa"/>
    <s v="MF-05860"/>
    <x v="2"/>
    <x v="7"/>
    <s v="Definición de funcionalidades para la Bandeja de Supervisor"/>
    <x v="12"/>
    <s v="Funcional"/>
    <s v="Medio"/>
    <d v="2026-04-17T00:00:00"/>
    <m/>
    <s v="TBD"/>
    <m/>
    <s v="Jorge Urrutia"/>
    <b v="1"/>
    <s v="1.Identificada"/>
    <s v="Canales Asistidos"/>
  </r>
  <r>
    <s v="Mapa"/>
    <s v="MF-05850"/>
    <x v="2"/>
    <x v="7"/>
    <s v="Definición de diseño de mesa de autonomía"/>
    <x v="13"/>
    <s v="Funcional"/>
    <s v="Medio"/>
    <d v="2026-03-23T00:00:00"/>
    <m/>
    <d v="2026-03-23T00:00:00"/>
    <m/>
    <s v="Jorge Urrutia"/>
    <b v="1"/>
    <s v="4.Resuelta"/>
    <s v="Canales Asistidos"/>
  </r>
  <r>
    <s v="Mapa"/>
    <s v="MF-05850"/>
    <x v="2"/>
    <x v="7"/>
    <s v="Definición administrador de autonomías"/>
    <x v="14"/>
    <s v="Funcional"/>
    <s v="Medio"/>
    <d v="2026-03-27T00:00:00"/>
    <d v="2026-04-10T00:00:00"/>
    <s v="TBD"/>
    <m/>
    <s v="Jorge Urrutia"/>
    <b v="1"/>
    <s v="3.En progreso"/>
    <s v="Canales Asistidos"/>
  </r>
  <r>
    <s v="Mapa"/>
    <s v="MF-05840"/>
    <x v="2"/>
    <x v="7"/>
    <s v="Definición modelo de atención"/>
    <x v="15"/>
    <s v="Funcional"/>
    <s v="Alta"/>
    <d v="2026-03-27T00:00:00"/>
    <d v="2026-04-10T00:00:00"/>
    <s v="TBD"/>
    <m/>
    <s v="Jorge Urrutia"/>
    <b v="1"/>
    <s v="3.En progreso"/>
    <s v="Canales Asistidos"/>
  </r>
  <r>
    <s v="Mapa"/>
    <s v="MF-05840"/>
    <x v="2"/>
    <x v="7"/>
    <s v="Definición de SLAs"/>
    <x v="16"/>
    <s v="Funcional"/>
    <s v="Alta"/>
    <d v="2026-03-27T00:00:00"/>
    <d v="2026-04-10T00:00:00"/>
    <s v="TBD"/>
    <m/>
    <s v="Jorge Urrutia"/>
    <b v="1"/>
    <s v="1.Identificada"/>
    <s v="Canales Asistidos"/>
  </r>
  <r>
    <s v="Mapa"/>
    <s v="MF-05830"/>
    <x v="2"/>
    <x v="3"/>
    <s v=" "/>
    <x v="17"/>
    <s v="Técnica"/>
    <s v="Alta"/>
    <d v="2026-06-15T00:00:00"/>
    <m/>
    <s v="TBD"/>
    <m/>
    <s v="Julio Palomino"/>
    <b v="1"/>
    <s v="1.Identificada"/>
    <s v="Canales Asistidos"/>
  </r>
  <r>
    <s v="Mapa"/>
    <s v="MF-05830"/>
    <x v="2"/>
    <x v="5"/>
    <s v="Integración con SPACE"/>
    <x v="18"/>
    <s v="Técnica"/>
    <s v="Baja"/>
    <d v="2026-07-17T00:00:00"/>
    <m/>
    <s v="TBD"/>
    <m/>
    <s v="Jorge Urrutia"/>
    <b v="1"/>
    <s v="1.Identificada"/>
    <s v="Canales Asistidos"/>
  </r>
  <r>
    <s v="Mapa"/>
    <s v="MF-05800"/>
    <x v="2"/>
    <x v="7"/>
    <s v="Definición de roles"/>
    <x v="19"/>
    <s v="Funcional"/>
    <s v="Medio"/>
    <d v="2026-04-10T00:00:00"/>
    <m/>
    <s v="TBD"/>
    <m/>
    <s v="Jorge Urrutia"/>
    <b v="1"/>
    <s v="1.Identificada"/>
    <s v="Canales Asistidos"/>
  </r>
  <r>
    <s v="Mapa"/>
    <s v="MF-05790"/>
    <x v="1"/>
    <x v="6"/>
    <s v="Fuente de origen de campañas"/>
    <x v="20"/>
    <s v="Funcional"/>
    <s v="Medio"/>
    <d v="2026-04-24T00:00:00"/>
    <m/>
    <m/>
    <m/>
    <s v="Sonia B."/>
    <b v="1"/>
    <s v="1.Identificada"/>
    <s v="Canales Asistidos"/>
  </r>
  <r>
    <s v="Mapa"/>
    <s v="MF-05790"/>
    <x v="1"/>
    <x v="3"/>
    <s v="Fuente de origen de campañas"/>
    <x v="20"/>
    <s v="Funcional"/>
    <s v="Medio"/>
    <d v="2026-04-24T00:00:00"/>
    <m/>
    <m/>
    <m/>
    <s v="Sonia B."/>
    <b v="1"/>
    <s v="1.Identificada"/>
    <s v="Canales Asistidos"/>
  </r>
  <r>
    <s v="Mapa"/>
    <s v="MF-05770"/>
    <x v="1"/>
    <x v="3"/>
    <s v="Fuente de origen de clientes desde BT"/>
    <x v="21"/>
    <s v="Funcional"/>
    <s v="Medio"/>
    <d v="2026-04-24T00:00:00"/>
    <m/>
    <m/>
    <m/>
    <s v="Sonia B."/>
    <b v="1"/>
    <s v="1.Identificada"/>
    <s v="Canales Asistidos"/>
  </r>
  <r>
    <s v="Mapa"/>
    <s v="MF-05760"/>
    <x v="1"/>
    <x v="3"/>
    <s v="Definición de carga de datos"/>
    <x v="22"/>
    <s v="Técnica"/>
    <s v="Medio"/>
    <d v="2026-03-31T00:00:00"/>
    <d v="2026-04-07T00:00:00"/>
    <m/>
    <m/>
    <s v="Sonia B."/>
    <b v="1"/>
    <s v="4.Resuelta"/>
    <s v="Canales Asistidos"/>
  </r>
  <r>
    <s v="Mapa"/>
    <s v="MF-05760"/>
    <x v="1"/>
    <x v="3"/>
    <s v="Confirmacion de información"/>
    <x v="23"/>
    <s v="Técnica"/>
    <s v="Medio"/>
    <d v="2026-03-27T00:00:00"/>
    <m/>
    <m/>
    <m/>
    <s v="Sonia B."/>
    <b v="1"/>
    <s v="4.Resuelta"/>
    <s v="Canales Asistidos"/>
  </r>
  <r>
    <s v="Mapa"/>
    <s v="MF-05760"/>
    <x v="1"/>
    <x v="3"/>
    <s v="Configuracion de estructura comercial"/>
    <x v="24"/>
    <s v="Técnica"/>
    <s v="Medio"/>
    <d v="2026-04-10T00:00:00"/>
    <m/>
    <m/>
    <m/>
    <s v="Sonia B."/>
    <b v="1"/>
    <s v="1.Identificada"/>
    <s v="Canales Asistidos"/>
  </r>
  <r>
    <s v="Mapa"/>
    <s v="MF-05750"/>
    <x v="1"/>
    <x v="3"/>
    <s v="Fuente de origen de campañas"/>
    <x v="20"/>
    <s v="Funcional"/>
    <s v="Medio"/>
    <d v="2026-04-24T00:00:00"/>
    <m/>
    <m/>
    <m/>
    <s v="Sonia B."/>
    <b v="1"/>
    <s v="1.Identificada"/>
    <s v="Canales Asistidos"/>
  </r>
  <r>
    <s v="Mapa"/>
    <s v="MF-05750"/>
    <x v="1"/>
    <x v="6"/>
    <s v="Fuente de origen de campañas"/>
    <x v="20"/>
    <s v="Funcional"/>
    <s v="Medio"/>
    <d v="2026-04-24T00:00:00"/>
    <m/>
    <m/>
    <m/>
    <s v="Sonia B."/>
    <b v="1"/>
    <s v="1.Identificada"/>
    <s v="Canales Asistidos"/>
  </r>
  <r>
    <s v="Mapa"/>
    <s v="MF-05740"/>
    <x v="1"/>
    <x v="6"/>
    <s v="Fuente de origen de prospectos"/>
    <x v="25"/>
    <s v="Funcional"/>
    <s v="Medio"/>
    <d v="2026-04-24T00:00:00"/>
    <m/>
    <m/>
    <m/>
    <s v="Sonia B."/>
    <b v="1"/>
    <s v="1.Identificada"/>
    <s v="Canales Asistidos"/>
  </r>
  <r>
    <s v="Mapa"/>
    <s v="MF-05730"/>
    <x v="1"/>
    <x v="3"/>
    <s v="Fuente de origen de clientes desde BT"/>
    <x v="21"/>
    <s v="Funcional"/>
    <s v="Medio"/>
    <d v="2026-04-24T00:00:00"/>
    <m/>
    <m/>
    <m/>
    <s v="Sonia B."/>
    <b v="1"/>
    <s v="1.Identificada"/>
    <s v="Canales Asistidos"/>
  </r>
  <r>
    <s v="Mapa"/>
    <s v="MF-05720"/>
    <x v="1"/>
    <x v="3"/>
    <s v="Definición de carga de datos"/>
    <x v="22"/>
    <s v="Técnica"/>
    <s v="Medio"/>
    <d v="2026-03-31T00:00:00"/>
    <d v="2026-04-07T00:00:00"/>
    <m/>
    <m/>
    <s v="Sonia B."/>
    <b v="1"/>
    <s v="4.Resuelta"/>
    <s v="Canales Asistidos"/>
  </r>
  <r>
    <s v="Mapa"/>
    <s v="MF-05720"/>
    <x v="1"/>
    <x v="3"/>
    <s v="Confirmacion de información"/>
    <x v="23"/>
    <s v="Técnica"/>
    <s v="Medio"/>
    <d v="2026-03-27T00:00:00"/>
    <m/>
    <m/>
    <m/>
    <s v="Sonia B."/>
    <b v="1"/>
    <s v="4.Resuelta"/>
    <s v="Canales Asistidos"/>
  </r>
  <r>
    <s v="Mapa"/>
    <s v="MF-05720"/>
    <x v="1"/>
    <x v="3"/>
    <s v="Configuracion de estructura comercial"/>
    <x v="24"/>
    <s v="Técnica"/>
    <s v="Medio"/>
    <d v="2026-04-10T00:00:00"/>
    <m/>
    <m/>
    <m/>
    <s v="Sonia B."/>
    <b v="1"/>
    <s v="1.Identificada"/>
    <s v="Canales Asistidos"/>
  </r>
  <r>
    <s v="Mapa"/>
    <s v="MF-05710"/>
    <x v="0"/>
    <x v="7"/>
    <s v="Definir los roles para back office"/>
    <x v="26"/>
    <s v="Funcional"/>
    <s v="Medio"/>
    <d v="2026-06-01T00:00:00"/>
    <m/>
    <m/>
    <m/>
    <s v="Sonia B."/>
    <b v="1"/>
    <s v="1.Identificada"/>
    <s v="Canales Asistidos"/>
  </r>
  <r>
    <s v="Mapa"/>
    <s v="MF-05700"/>
    <x v="0"/>
    <x v="7"/>
    <s v="Definir los roles para agencias"/>
    <x v="27"/>
    <s v="Funcional"/>
    <s v="Medio"/>
    <d v="2026-06-01T00:00:00"/>
    <m/>
    <m/>
    <m/>
    <s v="Sonia B."/>
    <b v="1"/>
    <s v="1.Identificada"/>
    <s v="Canales Asistidos"/>
  </r>
  <r>
    <s v="Mapa"/>
    <s v="MF-05690"/>
    <x v="0"/>
    <x v="7"/>
    <s v="Definir los roles para contact center"/>
    <x v="28"/>
    <s v="Funcional"/>
    <s v="Medio"/>
    <d v="2026-06-01T00:00:00"/>
    <m/>
    <m/>
    <m/>
    <s v="Sonia B."/>
    <b v="1"/>
    <s v="1.Identificada"/>
    <s v="Canales Asistidos"/>
  </r>
  <r>
    <s v="Mapa"/>
    <s v="MF-05680"/>
    <x v="0"/>
    <x v="7"/>
    <s v="Definir los roles para back office"/>
    <x v="29"/>
    <s v="Funcional"/>
    <s v="Medio"/>
    <d v="2026-06-01T00:00:00"/>
    <m/>
    <m/>
    <m/>
    <s v="Sonia B."/>
    <b v="1"/>
    <s v="1.Identificada"/>
    <s v="Canales Asistidos"/>
  </r>
  <r>
    <s v="Mapa"/>
    <s v="MF-05670"/>
    <x v="0"/>
    <x v="7"/>
    <s v="Definir los roles para agencias"/>
    <x v="30"/>
    <s v="Funcional"/>
    <s v="Medio"/>
    <d v="2026-06-01T00:00:00"/>
    <m/>
    <m/>
    <m/>
    <s v="Sonia B."/>
    <b v="1"/>
    <s v="1.Identificada"/>
    <s v="Canales Asistidos"/>
  </r>
  <r>
    <s v="Mapa"/>
    <s v="MF-05660"/>
    <x v="0"/>
    <x v="7"/>
    <s v="Definir los roles para contact center"/>
    <x v="31"/>
    <s v="Funcional"/>
    <s v="Medio"/>
    <d v="2026-06-01T00:00:00"/>
    <m/>
    <m/>
    <m/>
    <s v="Sonia B."/>
    <b v="1"/>
    <s v="1.Identificada"/>
    <s v="Canales Asistidos"/>
  </r>
  <r>
    <s v="Mapa"/>
    <s v="MF-05653"/>
    <x v="1"/>
    <x v="9"/>
    <s v="Ambiente pre productivo espejo"/>
    <x v="32"/>
    <s v="Infraestructura"/>
    <s v="Alta"/>
    <d v="2026-06-05T00:00:00"/>
    <m/>
    <m/>
    <m/>
    <s v="Sonia B."/>
    <b v="1"/>
    <s v="1.Identificada"/>
    <s v="Canales Asistidos"/>
  </r>
  <r>
    <s v="Mapa"/>
    <s v="MF-05652"/>
    <x v="0"/>
    <x v="6"/>
    <s v="Explotacion de datos"/>
    <x v="33"/>
    <s v="Técnica"/>
    <s v="Alta"/>
    <d v="2026-06-30T00:00:00"/>
    <m/>
    <d v="2026-06-30T00:00:00"/>
    <m/>
    <s v="Jean Paul Astonitas"/>
    <b v="1"/>
    <s v="1.Identificada"/>
    <s v="Canales Asistidos"/>
  </r>
  <r>
    <s v="Mapa"/>
    <s v="MF-05650"/>
    <x v="0"/>
    <x v="10"/>
    <s v="Integración &amp; Conectividad"/>
    <x v="34"/>
    <s v="Técnica"/>
    <s v="Alta"/>
    <d v="2026-06-30T00:00:00"/>
    <m/>
    <d v="2026-06-30T00:00:00"/>
    <m/>
    <s v="Henry J."/>
    <b v="1"/>
    <s v="1.Identificada"/>
    <s v="Canales Asistidos"/>
  </r>
  <r>
    <s v="Mapa"/>
    <s v="MF-05620"/>
    <x v="1"/>
    <x v="6"/>
    <s v="Fuente de origen de campañas"/>
    <x v="20"/>
    <s v="Funcional"/>
    <s v="Medio"/>
    <d v="2026-04-24T00:00:00"/>
    <m/>
    <m/>
    <m/>
    <s v="Sonia B."/>
    <b v="1"/>
    <s v="1.Identificada"/>
    <s v="Canales Asistidos"/>
  </r>
  <r>
    <s v="Mapa"/>
    <s v="MF-05620"/>
    <x v="1"/>
    <x v="3"/>
    <s v="Fuente de origen de campañas"/>
    <x v="20"/>
    <s v="Funcional"/>
    <s v="Medio"/>
    <d v="2026-04-24T00:00:00"/>
    <m/>
    <m/>
    <m/>
    <s v="Sonia B."/>
    <b v="1"/>
    <s v="1.Identificada"/>
    <s v="Canales Asistidos"/>
  </r>
  <r>
    <s v="Mapa"/>
    <s v="MF-05500"/>
    <x v="3"/>
    <x v="11"/>
    <s v="Actualización de pagos en Bantotal "/>
    <x v="35"/>
    <s v="Técnica"/>
    <s v="Alta"/>
    <d v="2026-07-01T00:00:00"/>
    <m/>
    <s v="TBD"/>
    <m/>
    <s v="Sonia B."/>
    <b v="1"/>
    <s v="2.Solicitada"/>
    <s v="Canales Asistidos"/>
  </r>
  <r>
    <s v="Mapa"/>
    <s v="MF-05500"/>
    <x v="3"/>
    <x v="3"/>
    <s v="Actualización de pagos en Bantotal "/>
    <x v="36"/>
    <s v="Técnica"/>
    <s v="Alta"/>
    <d v="2026-07-01T00:00:00"/>
    <m/>
    <s v="TBD"/>
    <m/>
    <s v="Sonia B."/>
    <b v="1"/>
    <s v="2.Solicitada"/>
    <s v="Canales Asistidos"/>
  </r>
  <r>
    <s v="Mapa"/>
    <s v="MF-05480"/>
    <x v="1"/>
    <x v="6"/>
    <s v="Fuente de origen de campañas"/>
    <x v="20"/>
    <s v="Funcional"/>
    <s v="Medio"/>
    <d v="2026-04-24T00:00:00"/>
    <m/>
    <m/>
    <m/>
    <s v="Sonia B."/>
    <b v="1"/>
    <s v="1.Identificada"/>
    <s v="Canales Asistidos"/>
  </r>
  <r>
    <s v="Mapa"/>
    <s v="MF-05480"/>
    <x v="1"/>
    <x v="3"/>
    <s v="Fuente de origen de campañas"/>
    <x v="20"/>
    <s v="Funcional"/>
    <s v="Medio"/>
    <d v="2026-04-24T00:00:00"/>
    <m/>
    <m/>
    <m/>
    <s v="Sonia B."/>
    <b v="1"/>
    <s v="1.Identificada"/>
    <s v="Canales Asistidos"/>
  </r>
  <r>
    <s v="Mapa"/>
    <s v="MF-05400"/>
    <x v="1"/>
    <x v="6"/>
    <s v="Fuente de origen de campañas"/>
    <x v="20"/>
    <s v="Funcional"/>
    <s v="Medio"/>
    <d v="2026-04-24T00:00:00"/>
    <m/>
    <m/>
    <m/>
    <s v="Sonia B."/>
    <b v="1"/>
    <s v="1.Identificada"/>
    <s v="Canales Asistidos"/>
  </r>
  <r>
    <s v="Mapa"/>
    <s v="MF-05400"/>
    <x v="1"/>
    <x v="3"/>
    <s v="Fuente de origen de campañas"/>
    <x v="20"/>
    <s v="Funcional"/>
    <s v="Medio"/>
    <d v="2026-04-24T00:00:00"/>
    <m/>
    <m/>
    <m/>
    <s v="Sonia B."/>
    <b v="1"/>
    <s v="1.Identificada"/>
    <s v="Canales Asistidos"/>
  </r>
  <r>
    <s v="Mapa"/>
    <s v="MF-05390"/>
    <x v="1"/>
    <x v="6"/>
    <s v="Fuente de origen de prospectos"/>
    <x v="25"/>
    <s v="Funcional"/>
    <s v="Medio"/>
    <d v="2026-04-24T00:00:00"/>
    <m/>
    <m/>
    <m/>
    <s v="Sonia B."/>
    <b v="1"/>
    <s v="1.Identificada"/>
    <s v="Canales Asistidos"/>
  </r>
  <r>
    <s v="Mapa"/>
    <s v="MF-05380"/>
    <x v="1"/>
    <x v="3"/>
    <s v="Fuente de origen de clientes desde BT"/>
    <x v="21"/>
    <s v="Funcional"/>
    <s v="Medio"/>
    <d v="2026-04-24T00:00:00"/>
    <m/>
    <m/>
    <m/>
    <s v="Sonia B."/>
    <b v="1"/>
    <s v="1.Identificada"/>
    <s v="Canales Asistidos"/>
  </r>
  <r>
    <s v="Mapa"/>
    <s v="MF-05380"/>
    <x v="1"/>
    <x v="12"/>
    <s v="Fuente de origen de no clientes"/>
    <x v="37"/>
    <s v="Funcional"/>
    <s v="Medio"/>
    <d v="2026-04-24T00:00:00"/>
    <m/>
    <m/>
    <m/>
    <s v="Sonia B."/>
    <b v="1"/>
    <s v="1.Identificada"/>
    <s v="Canales Asistidos"/>
  </r>
  <r>
    <s v="Mapa"/>
    <s v="MF-05350"/>
    <x v="1"/>
    <x v="11"/>
    <s v="Definicion de campos para apis"/>
    <x v="38"/>
    <s v="Técnica"/>
    <s v="Medio"/>
    <d v="2026-06-03T00:00:00"/>
    <m/>
    <m/>
    <m/>
    <s v="Sonia B."/>
    <b v="1"/>
    <s v="1.Identificada"/>
    <s v="Canales Asistidos"/>
  </r>
  <r>
    <s v="Mapa"/>
    <s v="MF-05350"/>
    <x v="1"/>
    <x v="7"/>
    <s v="Definicion de estados y situaciones de Tarjeta de débito"/>
    <x v="39"/>
    <s v="Técnica"/>
    <s v="Medio"/>
    <d v="2026-06-03T00:00:00"/>
    <m/>
    <m/>
    <m/>
    <s v="Sonia B."/>
    <b v="1"/>
    <s v="1.Identificada"/>
    <s v="Canales Asistidos"/>
  </r>
  <r>
    <s v="Mapa"/>
    <s v="MF-05340"/>
    <x v="1"/>
    <x v="3"/>
    <s v="Mapeo de nuevos campos en APIs"/>
    <x v="40"/>
    <s v="Técnica"/>
    <s v="Medio"/>
    <d v="2026-06-03T00:00:00"/>
    <m/>
    <m/>
    <m/>
    <s v="Sonia B."/>
    <b v="1"/>
    <s v="1.Identificada"/>
    <s v="Canales Asistidos"/>
  </r>
  <r>
    <s v="Mapa"/>
    <s v="MF-05340"/>
    <x v="1"/>
    <x v="11"/>
    <s v="Definicion de campos para apis"/>
    <x v="38"/>
    <s v="Técnica"/>
    <s v="Medio"/>
    <d v="2026-06-03T00:00:00"/>
    <m/>
    <m/>
    <m/>
    <s v="Sonia B."/>
    <b v="1"/>
    <s v="1.Identificada"/>
    <s v="Canales Asistidos"/>
  </r>
  <r>
    <s v="Mapa"/>
    <s v="MF-05340"/>
    <x v="1"/>
    <x v="13"/>
    <s v="Apis"/>
    <x v="41"/>
    <s v="Técnica"/>
    <s v="Medio"/>
    <d v="2026-03-31T00:00:00"/>
    <d v="2026-04-07T00:00:00"/>
    <m/>
    <m/>
    <s v="Sonia B."/>
    <b v="1"/>
    <s v="3.En progreso"/>
    <s v="Canales Asistidos"/>
  </r>
  <r>
    <s v="Mapa"/>
    <s v="MF-05340"/>
    <x v="1"/>
    <x v="7"/>
    <s v="Definicion de estados y situaciones de Tarjeta de débito"/>
    <x v="39"/>
    <s v="Técnica"/>
    <s v="Medio"/>
    <d v="2026-06-03T00:00:00"/>
    <m/>
    <m/>
    <m/>
    <s v="Sonia B."/>
    <b v="1"/>
    <s v="1.Identificada"/>
    <s v="Canales Asistidos"/>
  </r>
  <r>
    <s v="Mapa"/>
    <s v="MF-05340"/>
    <x v="1"/>
    <x v="3"/>
    <s v="Fuente de origen de la Base de fraudes"/>
    <x v="42"/>
    <s v="Técnica"/>
    <s v="Medio"/>
    <d v="2026-04-15T00:00:00"/>
    <m/>
    <m/>
    <m/>
    <s v="Sonia B."/>
    <b v="1"/>
    <s v="1.Identificada"/>
    <s v="Canales Asistidos"/>
  </r>
  <r>
    <s v="Mapa"/>
    <s v="MF-05340"/>
    <x v="1"/>
    <x v="3"/>
    <s v="Fuente de origen para obtener la lista de países restringidos o prohibidos"/>
    <x v="43"/>
    <s v="Técnica"/>
    <s v="Medio"/>
    <d v="2026-04-15T00:00:00"/>
    <m/>
    <m/>
    <m/>
    <s v="Sonia B."/>
    <b v="1"/>
    <s v="1.Identificada"/>
    <s v="Canales Asistidos"/>
  </r>
  <r>
    <s v="Mapa"/>
    <s v="MF-04830"/>
    <x v="0"/>
    <x v="1"/>
    <s v="Habilitacion de accesos"/>
    <x v="2"/>
    <s v="Técnica"/>
    <s v="Medio"/>
    <d v="2026-03-31T00:00:00"/>
    <m/>
    <d v="2026-03-31T00:00:00"/>
    <m/>
    <s v="Sonia B."/>
    <b v="1"/>
    <s v="4.Resuelta"/>
    <s v="Canales Asistidos"/>
  </r>
  <r>
    <s v="Mapa"/>
    <s v="MF-04830"/>
    <x v="0"/>
    <x v="6"/>
    <s v="Explotacion de datos"/>
    <x v="44"/>
    <s v="Técnica"/>
    <s v="Alta"/>
    <d v="2026-06-30T00:00:00"/>
    <m/>
    <d v="2026-06-30T00:00:00"/>
    <m/>
    <s v="Jean Paul Astonitas"/>
    <b v="1"/>
    <s v="1.Identificada"/>
    <s v="Canales Asistidos"/>
  </r>
  <r>
    <s v="Mapa"/>
    <s v="MF-04560"/>
    <x v="1"/>
    <x v="6"/>
    <s v="Reportes"/>
    <x v="45"/>
    <s v="Técnica"/>
    <s v="Medio"/>
    <d v="2026-06-26T00:00:00"/>
    <m/>
    <m/>
    <m/>
    <s v="Sonia B."/>
    <b v="1"/>
    <s v="1.Identificada"/>
    <s v="Canales Asistidos"/>
  </r>
  <r>
    <s v="Mapa"/>
    <s v="MF-04510"/>
    <x v="3"/>
    <x v="6"/>
    <s v="Migracion"/>
    <x v="46"/>
    <s v="Técnica"/>
    <s v="Alta"/>
    <d v="2026-07-03T00:00:00"/>
    <m/>
    <s v="TBD"/>
    <m/>
    <s v="Sonia B."/>
    <b v="1"/>
    <s v="2.Solicitada"/>
    <s v="Canales Asistidos"/>
  </r>
  <r>
    <s v="Mapa"/>
    <s v="MF-04510"/>
    <x v="3"/>
    <x v="1"/>
    <s v="Control M"/>
    <x v="1"/>
    <s v="Técnica"/>
    <s v="Medio"/>
    <d v="2026-04-15T00:00:00"/>
    <m/>
    <m/>
    <m/>
    <s v="Sonia B."/>
    <b v="1"/>
    <s v="1.Identificada"/>
    <s v="Canales Asistidos"/>
  </r>
  <r>
    <s v="Mapa"/>
    <s v="MF-04510"/>
    <x v="3"/>
    <x v="1"/>
    <s v="Habilitacion de accesos"/>
    <x v="2"/>
    <s v="Técnica"/>
    <s v="Medio"/>
    <d v="2026-03-31T00:00:00"/>
    <m/>
    <m/>
    <m/>
    <s v="Sonia B."/>
    <b v="1"/>
    <s v="1.Identificada"/>
    <s v="Canales Asistidos"/>
  </r>
  <r>
    <s v="Mapa"/>
    <s v="MF-04495"/>
    <x v="1"/>
    <x v="3"/>
    <s v="Definición de carga de datos"/>
    <x v="22"/>
    <s v="Técnica"/>
    <s v="Medio"/>
    <d v="2026-03-31T00:00:00"/>
    <d v="2026-04-07T00:00:00"/>
    <m/>
    <m/>
    <s v="Sonia B."/>
    <b v="1"/>
    <s v="3.En progreso"/>
    <s v="Canales Asistidos"/>
  </r>
  <r>
    <s v="Mapa"/>
    <s v="MF-04495"/>
    <x v="1"/>
    <x v="3"/>
    <s v="Confirmacion de información"/>
    <x v="23"/>
    <s v="Técnica"/>
    <s v="Medio"/>
    <d v="2026-03-31T00:00:00"/>
    <m/>
    <m/>
    <m/>
    <s v="Sonia B."/>
    <b v="1"/>
    <s v="4.Resuelta"/>
    <s v="Canales Asistidos"/>
  </r>
  <r>
    <s v="Mapa"/>
    <s v="MF-04495"/>
    <x v="1"/>
    <x v="3"/>
    <s v="Configuracion de estructura comercial"/>
    <x v="24"/>
    <s v="Técnica"/>
    <s v="Medio"/>
    <d v="2026-04-10T00:00:00"/>
    <m/>
    <m/>
    <m/>
    <s v="Sonia B."/>
    <b v="1"/>
    <s v="1.Identificada"/>
    <s v="Canales Asistidos"/>
  </r>
  <r>
    <s v="Mapa"/>
    <s v="MF-04480"/>
    <x v="1"/>
    <x v="11"/>
    <s v="Confirmar funcionalidades"/>
    <x v="47"/>
    <s v="Técnica"/>
    <s v="Medio"/>
    <d v="2026-04-10T00:00:00"/>
    <m/>
    <m/>
    <m/>
    <s v="Sonia B."/>
    <b v="1"/>
    <s v="1.Identificada"/>
    <s v="Canales Asistidos"/>
  </r>
  <r>
    <s v="Mapa"/>
    <s v="MF-04480"/>
    <x v="1"/>
    <x v="4"/>
    <s v="Integracion Cyberfinancial"/>
    <x v="48"/>
    <s v="Técnica"/>
    <s v="Medio"/>
    <d v="2026-03-31T00:00:00"/>
    <m/>
    <m/>
    <m/>
    <s v="Sonia B."/>
    <b v="1"/>
    <s v="3.En progreso"/>
    <s v="Canales Asistidos"/>
  </r>
  <r>
    <s v="Mapa"/>
    <s v="MF-04480"/>
    <x v="1"/>
    <x v="14"/>
    <s v="Confirmacion de funcionalidades "/>
    <x v="49"/>
    <s v="Técnica"/>
    <s v="Medio"/>
    <d v="2026-03-27T00:00:00"/>
    <m/>
    <m/>
    <m/>
    <s v="Sonia B."/>
    <b v="1"/>
    <s v="1.Identificada"/>
    <s v="Canales Asistidos"/>
  </r>
  <r>
    <s v="Mapa"/>
    <s v="MF-04480"/>
    <x v="1"/>
    <x v="15"/>
    <s v="Integración web documentos"/>
    <x v="50"/>
    <s v="Técnica"/>
    <s v="Alta"/>
    <d v="2026-07-24T00:00:00"/>
    <m/>
    <m/>
    <m/>
    <s v="Sonia B."/>
    <b v="1"/>
    <s v="1.Identificada"/>
    <s v="Canales Asistidos"/>
  </r>
  <r>
    <s v="Mapa"/>
    <s v="MF-04380"/>
    <x v="1"/>
    <x v="16"/>
    <s v="Integración quejas y reclamos"/>
    <x v="51"/>
    <s v="Técnica"/>
    <s v="Alta"/>
    <d v="2026-04-10T00:00:00"/>
    <m/>
    <m/>
    <m/>
    <s v="Sonia B."/>
    <b v="1"/>
    <s v="1.Identificada"/>
    <s v="Canales Asistidos"/>
  </r>
  <r>
    <s v="Mapa"/>
    <s v="MF-04380"/>
    <x v="1"/>
    <x v="1"/>
    <s v="Conectividad"/>
    <x v="52"/>
    <s v="Técnica"/>
    <s v="Alta"/>
    <d v="2026-06-05T00:00:00"/>
    <m/>
    <m/>
    <m/>
    <s v="Sonia B."/>
    <b v="1"/>
    <s v="1.Identificada"/>
    <s v="Canales Asistidos"/>
  </r>
  <r>
    <s v="Mapa"/>
    <s v="MF-04350"/>
    <x v="1"/>
    <x v="1"/>
    <s v="Conectividad"/>
    <x v="52"/>
    <s v="Técnica"/>
    <s v="Alta"/>
    <d v="2026-06-05T00:00:00"/>
    <m/>
    <m/>
    <m/>
    <s v="Sonia B."/>
    <b v="1"/>
    <s v="1.Identificada"/>
    <s v="Canales Asistidos"/>
  </r>
  <r>
    <s v="Mapa"/>
    <s v="MF-04260"/>
    <x v="1"/>
    <x v="1"/>
    <s v="Conectividad"/>
    <x v="52"/>
    <s v="Técnica"/>
    <s v="Alta"/>
    <d v="2026-06-05T00:00:00"/>
    <m/>
    <m/>
    <m/>
    <s v="Sonia B."/>
    <b v="1"/>
    <s v="1.Identificada"/>
    <s v="Canales Asistidos"/>
  </r>
  <r>
    <s v="Mapa"/>
    <s v="MF-04250"/>
    <x v="1"/>
    <x v="17"/>
    <s v="Conexión a RENIEC"/>
    <x v="53"/>
    <s v="Técnica"/>
    <s v="Medio"/>
    <d v="2026-07-24T00:00:00"/>
    <m/>
    <m/>
    <m/>
    <s v="Sonia B."/>
    <b v="1"/>
    <s v="1.Identificada"/>
    <s v="Canales Asistidos"/>
  </r>
  <r>
    <s v="Mapa"/>
    <s v="MF-04230"/>
    <x v="1"/>
    <x v="1"/>
    <s v="Dispositivo biometrico"/>
    <x v="54"/>
    <s v="Infraestructura"/>
    <s v="Medio"/>
    <d v="2026-06-05T00:00:00"/>
    <m/>
    <m/>
    <m/>
    <s v="Sonia B."/>
    <b v="1"/>
    <s v="1.Identificada"/>
    <s v="Canales Asistidos"/>
  </r>
  <r>
    <s v="Mapa"/>
    <s v="MF-04230"/>
    <x v="1"/>
    <x v="1"/>
    <s v="Dispositivo biometrico"/>
    <x v="55"/>
    <s v="Infraestructura"/>
    <s v="Medio"/>
    <d v="2026-06-05T00:00:00"/>
    <m/>
    <m/>
    <m/>
    <s v="Sonia B."/>
    <b v="1"/>
    <s v="1.Identificada"/>
    <s v="Canales Asistidos"/>
  </r>
  <r>
    <s v="Mapa"/>
    <s v="MF-04230"/>
    <x v="1"/>
    <x v="18"/>
    <s v="Integracion"/>
    <x v="56"/>
    <s v="Técnica"/>
    <s v="Medio"/>
    <d v="2026-04-06T00:00:00"/>
    <m/>
    <m/>
    <m/>
    <s v="Sonia B."/>
    <b v="1"/>
    <s v="1.Identificada"/>
    <s v="Canales Asistidos"/>
  </r>
  <r>
    <s v="Mapa"/>
    <s v="MF-04200"/>
    <x v="1"/>
    <x v="19"/>
    <s v="Link de ingreso a web PROSEGUR desde Space"/>
    <x v="57"/>
    <s v="Técnica"/>
    <s v="Alta"/>
    <d v="2026-07-24T00:00:00"/>
    <m/>
    <m/>
    <m/>
    <s v="Sonia B."/>
    <b v="1"/>
    <s v="1.Identificada"/>
    <s v="Canales Asistidos"/>
  </r>
  <r>
    <s v="Mapa"/>
    <s v="MF-04200"/>
    <x v="1"/>
    <x v="20"/>
    <s v="Link de ingreso a Web Enotria desde Space"/>
    <x v="58"/>
    <s v="Técnica"/>
    <s v="Alta"/>
    <d v="2026-07-24T00:00:00"/>
    <m/>
    <m/>
    <m/>
    <s v="Sonia B."/>
    <b v="1"/>
    <s v="1.Identificada"/>
    <s v="Canales Asistidos"/>
  </r>
  <r>
    <s v="Mapa"/>
    <s v="MF-04180"/>
    <x v="1"/>
    <x v="1"/>
    <s v="Conectividad"/>
    <x v="52"/>
    <s v="Técnica"/>
    <s v="Alta"/>
    <d v="2026-04-30T00:00:00"/>
    <m/>
    <m/>
    <m/>
    <s v="Sonia B."/>
    <b v="1"/>
    <s v="1.Identificada"/>
    <s v="Canales Asistidos"/>
  </r>
  <r>
    <s v="Mapa"/>
    <s v="MF-04160"/>
    <x v="1"/>
    <x v="16"/>
    <s v="Integración web quejas y reclamos"/>
    <x v="51"/>
    <s v="Técnica"/>
    <s v="Alta"/>
    <d v="2026-07-24T00:00:00"/>
    <m/>
    <m/>
    <m/>
    <s v="Sonia B."/>
    <b v="1"/>
    <s v="1.Identificada"/>
    <s v="Canales Asistidos"/>
  </r>
  <r>
    <s v="Mapa"/>
    <s v="MF-04110"/>
    <x v="1"/>
    <x v="21"/>
    <s v="Integración web asistidos"/>
    <x v="59"/>
    <s v="Técnica"/>
    <s v="Alta"/>
    <d v="2026-06-26T00:00:00"/>
    <m/>
    <m/>
    <m/>
    <s v="Sonia B."/>
    <b v="1"/>
    <s v="1.Identificada"/>
    <m/>
  </r>
  <r>
    <s v="Mapa"/>
    <s v="MF-04010"/>
    <x v="3"/>
    <x v="7"/>
    <s v="Definicion de Historias PI3"/>
    <x v="60"/>
    <s v="Funcional"/>
    <s v="Medio"/>
    <d v="2026-06-12T00:00:00"/>
    <m/>
    <s v="TBD"/>
    <m/>
    <s v="Sonia B."/>
    <b v="1"/>
    <s v="1.Identificada"/>
    <s v="Canales Asistidos"/>
  </r>
  <r>
    <s v="Mapa"/>
    <s v="MF-03990"/>
    <x v="3"/>
    <x v="7"/>
    <s v="Definicion de Historias PI2"/>
    <x v="61"/>
    <s v="Funcional"/>
    <s v="Medio"/>
    <d v="2026-03-23T00:00:00"/>
    <d v="2026-04-10T00:00:00"/>
    <s v="TBD"/>
    <m/>
    <s v="Sonia B."/>
    <b v="1"/>
    <s v="3.En progreso"/>
    <s v="Canales Asistidos"/>
  </r>
  <r>
    <s v="Mapa"/>
    <s v="MF-03885"/>
    <x v="1"/>
    <x v="5"/>
    <s v="Integración"/>
    <x v="62"/>
    <s v="Técnica"/>
    <s v="Alta"/>
    <d v="2026-04-10T00:00:00"/>
    <m/>
    <m/>
    <m/>
    <s v="Sonia B."/>
    <b v="1"/>
    <s v="1.Identificada"/>
    <s v="Canales Asistidos"/>
  </r>
  <r>
    <s v="Mapa"/>
    <s v="MF-03880"/>
    <x v="1"/>
    <x v="5"/>
    <s v="Integración"/>
    <x v="62"/>
    <s v="Técnica"/>
    <s v="Alta"/>
    <d v="2026-04-10T00:00:00"/>
    <m/>
    <m/>
    <m/>
    <s v="Sonia B."/>
    <b v="1"/>
    <s v="1.Identificada"/>
    <s v="Canales Asistidos"/>
  </r>
  <r>
    <s v="Mapa"/>
    <s v="MF-03840"/>
    <x v="1"/>
    <x v="21"/>
    <s v="Integración web asistidos"/>
    <x v="59"/>
    <s v="Técnica"/>
    <s v="Alta"/>
    <d v="2026-06-26T00:00:00"/>
    <m/>
    <m/>
    <m/>
    <s v="Sonia B."/>
    <b v="1"/>
    <s v="1.Identificada"/>
    <s v="Canales Asistidos"/>
  </r>
  <r>
    <s v="Mapa"/>
    <s v="MF-03790"/>
    <x v="3"/>
    <x v="3"/>
    <s v="Data de prestamos"/>
    <x v="63"/>
    <s v="Técnica"/>
    <s v="Alta"/>
    <d v="2026-07-01T00:00:00"/>
    <m/>
    <s v="TBD"/>
    <m/>
    <s v="Sonia B."/>
    <b v="1"/>
    <s v="4.Resuelta"/>
    <s v="Canales Asistidos"/>
  </r>
  <r>
    <s v="Mapa"/>
    <s v="MF-03790"/>
    <x v="3"/>
    <x v="5"/>
    <s v="Comunicación entre DEV local y PRE ODS"/>
    <x v="64"/>
    <s v="Técnica"/>
    <s v="Alta"/>
    <d v="2026-03-23T00:00:00"/>
    <m/>
    <s v="TBD"/>
    <m/>
    <s v="Sonia B."/>
    <b v="1"/>
    <s v="4.Resuelta"/>
    <s v="Canales Asistidos"/>
  </r>
  <r>
    <s v="Mapa"/>
    <s v="MF-03780"/>
    <x v="3"/>
    <x v="3"/>
    <s v="Data de prestamos"/>
    <x v="63"/>
    <s v="Técnica"/>
    <s v="Alta"/>
    <d v="2026-07-01T00:00:00"/>
    <m/>
    <s v="TBD"/>
    <m/>
    <s v="Sonia B."/>
    <b v="1"/>
    <s v="4.Resuelta"/>
    <s v="Canales Asistidos"/>
  </r>
  <r>
    <s v="Mapa"/>
    <s v="MF-03780"/>
    <x v="3"/>
    <x v="11"/>
    <s v="Conciliación (TC)"/>
    <x v="65"/>
    <s v="Técnica"/>
    <s v="Alta"/>
    <d v="2026-07-01T00:00:00"/>
    <m/>
    <s v="TBD"/>
    <m/>
    <s v="Sonia B."/>
    <b v="1"/>
    <s v="4.Resuelta"/>
    <s v="Canales Asistidos"/>
  </r>
  <r>
    <s v="Mapa"/>
    <s v="MF-03780"/>
    <x v="3"/>
    <x v="5"/>
    <s v="Comunicación entre DEV local y PRE ODS"/>
    <x v="64"/>
    <s v="Técnica"/>
    <s v="Alta"/>
    <d v="2026-03-23T00:00:00"/>
    <m/>
    <s v="TBD"/>
    <m/>
    <s v="Sonia B."/>
    <b v="1"/>
    <s v="4.Resuelta"/>
    <s v="Canales Asistidos"/>
  </r>
  <r>
    <s v="Mapa"/>
    <s v="MF-03790"/>
    <x v="3"/>
    <x v="6"/>
    <s v="Data de prestamos"/>
    <x v="63"/>
    <s v="Técnica"/>
    <s v="Alta"/>
    <d v="2026-07-01T00:00:00"/>
    <m/>
    <s v="TBD"/>
    <m/>
    <s v="Sonia B."/>
    <b v="1"/>
    <s v="2.Solicitada"/>
    <s v="Canales Asistidos"/>
  </r>
  <r>
    <s v="Mapa"/>
    <s v="MF-03780"/>
    <x v="3"/>
    <x v="6"/>
    <s v="Data de prestamos"/>
    <x v="63"/>
    <s v="Técnica"/>
    <s v="Alta"/>
    <d v="2026-07-01T00:00:00"/>
    <m/>
    <s v="TBD"/>
    <m/>
    <s v="Sonia B."/>
    <b v="1"/>
    <s v="2.Solicitada"/>
    <s v="Canales Asistidos"/>
  </r>
  <r>
    <s v="Mapa"/>
    <s v="MF-03770"/>
    <x v="3"/>
    <x v="6"/>
    <s v="Data de prestamos"/>
    <x v="63"/>
    <s v="Técnica"/>
    <s v="Alta"/>
    <d v="2026-07-01T00:00:00"/>
    <m/>
    <s v="TBD"/>
    <m/>
    <s v="Sonia B."/>
    <b v="1"/>
    <s v="2.Solicitada"/>
    <s v="Canales Asistidos"/>
  </r>
  <r>
    <s v="Mapa"/>
    <s v="MF-03760"/>
    <x v="3"/>
    <x v="6"/>
    <s v="Data de prestamos"/>
    <x v="63"/>
    <s v="Técnica"/>
    <s v="Alta"/>
    <d v="2026-07-01T00:00:00"/>
    <m/>
    <s v="TBD"/>
    <m/>
    <s v="Sonia B."/>
    <b v="1"/>
    <s v="2.Solicitada"/>
    <s v="Canales Asistidos"/>
  </r>
  <r>
    <s v="Mapa"/>
    <s v="MF-03750"/>
    <x v="3"/>
    <x v="6"/>
    <s v="Data de prestamos"/>
    <x v="63"/>
    <s v="Técnica"/>
    <s v="Alta"/>
    <d v="2026-07-01T00:00:00"/>
    <m/>
    <s v="TBD"/>
    <m/>
    <s v="Sonia B."/>
    <b v="1"/>
    <s v="2.Solicitada"/>
    <s v="Canales Asistidos"/>
  </r>
  <r>
    <s v="Mapa"/>
    <s v="MF-03770"/>
    <x v="3"/>
    <x v="3"/>
    <s v="Data de prestamos"/>
    <x v="63"/>
    <s v="Técnica"/>
    <s v="Alta"/>
    <d v="2026-07-01T00:00:00"/>
    <m/>
    <s v="TBD"/>
    <m/>
    <s v="Sonia B."/>
    <b v="1"/>
    <s v="4.Resuelta"/>
    <s v="Canales Asistidos"/>
  </r>
  <r>
    <s v="Mapa"/>
    <s v="MF-03770"/>
    <x v="3"/>
    <x v="11"/>
    <s v="Conciliación (TC)"/>
    <x v="65"/>
    <s v="Técnica"/>
    <s v="Alta"/>
    <d v="2026-07-01T00:00:00"/>
    <m/>
    <s v="TBD"/>
    <m/>
    <s v="Sonia B."/>
    <b v="1"/>
    <s v="4.Resuelta"/>
    <s v="Canales Asistidos"/>
  </r>
  <r>
    <s v="Mapa"/>
    <s v="MF-03770"/>
    <x v="3"/>
    <x v="5"/>
    <s v="Comunicación entre DEV local y PRE ODS"/>
    <x v="64"/>
    <s v="Técnica"/>
    <s v="Alta"/>
    <d v="2026-03-23T00:00:00"/>
    <m/>
    <s v="TBD"/>
    <m/>
    <s v="Sonia B."/>
    <b v="1"/>
    <s v="4.Resuelta"/>
    <s v="Canales Asistidos"/>
  </r>
  <r>
    <s v="Mapa"/>
    <s v="MF-03760"/>
    <x v="3"/>
    <x v="3"/>
    <s v="Data de prestamos"/>
    <x v="63"/>
    <s v="Técnica"/>
    <s v="Alta"/>
    <d v="2026-07-01T00:00:00"/>
    <m/>
    <s v="TBD"/>
    <m/>
    <s v="Sonia B."/>
    <b v="1"/>
    <s v="4.Resuelta"/>
    <s v="Canales Asistidos"/>
  </r>
  <r>
    <s v="Mapa"/>
    <s v="MF-03780"/>
    <x v="3"/>
    <x v="6"/>
    <s v="Conciliación (TC)"/>
    <x v="65"/>
    <s v="Técnica"/>
    <s v="Alta"/>
    <d v="2026-07-01T00:00:00"/>
    <m/>
    <s v="TBD"/>
    <m/>
    <s v="Sonia B."/>
    <b v="1"/>
    <s v="2.Solicitada"/>
    <s v="Canales Asistidos"/>
  </r>
  <r>
    <s v="Mapa"/>
    <s v="MF-03770"/>
    <x v="3"/>
    <x v="6"/>
    <s v="Conciliación (TC)"/>
    <x v="65"/>
    <s v="Técnica"/>
    <s v="Alta"/>
    <d v="2026-07-01T00:00:00"/>
    <m/>
    <s v="TBD"/>
    <m/>
    <s v="Sonia B."/>
    <b v="1"/>
    <s v="2.Solicitada"/>
    <s v="Canales Asistidos"/>
  </r>
  <r>
    <s v="Mapa"/>
    <s v="MF-03750"/>
    <x v="3"/>
    <x v="6"/>
    <s v="Conciliación (TC)"/>
    <x v="65"/>
    <s v="Técnica"/>
    <s v="Alta"/>
    <d v="2026-07-01T00:00:00"/>
    <m/>
    <s v="TBD"/>
    <m/>
    <s v="Sonia B."/>
    <b v="1"/>
    <s v="2.Solicitada"/>
    <s v="Canales Asistidos"/>
  </r>
  <r>
    <s v="Mapa"/>
    <s v="MF-03750"/>
    <x v="3"/>
    <x v="11"/>
    <s v="Conciliación (TC)"/>
    <x v="65"/>
    <s v="Técnica"/>
    <s v="Alta"/>
    <d v="2026-07-01T00:00:00"/>
    <m/>
    <s v="TBD"/>
    <m/>
    <s v="Sonia B."/>
    <b v="1"/>
    <s v="4.Resuelta"/>
    <s v="Canales Asistidos"/>
  </r>
  <r>
    <s v="Mapa"/>
    <s v="MF-03750"/>
    <x v="3"/>
    <x v="5"/>
    <s v="Comunicación entre DEV local y PRE ODS"/>
    <x v="64"/>
    <s v="Técnica"/>
    <s v="Alta"/>
    <d v="2026-03-23T00:00:00"/>
    <m/>
    <s v="TBD"/>
    <m/>
    <s v="Sonia B."/>
    <b v="1"/>
    <s v="4.Resuelta"/>
    <s v="Canales Asistidos"/>
  </r>
  <r>
    <s v="Mapa"/>
    <s v="MF-03750"/>
    <x v="3"/>
    <x v="22"/>
    <s v="Archivo LST - Estrategia de cobranzas"/>
    <x v="66"/>
    <s v="Técnica"/>
    <s v="Alta"/>
    <d v="2026-07-01T00:00:00"/>
    <m/>
    <d v="2026-10-15T00:00:00"/>
    <m/>
    <s v="Sonia B."/>
    <b v="1"/>
    <s v="2.Solicitada"/>
    <s v="Canales Asistidos"/>
  </r>
  <r>
    <s v="Mapa"/>
    <s v="MF-03750"/>
    <x v="3"/>
    <x v="3"/>
    <s v="Data de prestamos"/>
    <x v="63"/>
    <s v="Técnica"/>
    <s v="Alta"/>
    <d v="2026-07-01T00:00:00"/>
    <m/>
    <s v="TBD"/>
    <m/>
    <s v="Sonia B."/>
    <b v="1"/>
    <s v="4.Resuelta"/>
    <s v="Canales Asistidos"/>
  </r>
  <r>
    <s v="Mapa"/>
    <s v="MF-03740"/>
    <x v="1"/>
    <x v="7"/>
    <s v="Definición de tipos de campañas"/>
    <x v="67"/>
    <s v="Funcional"/>
    <s v="Medio"/>
    <d v="2026-03-31T00:00:00"/>
    <m/>
    <m/>
    <m/>
    <s v="Sonia B."/>
    <b v="1"/>
    <s v="1.Identificada"/>
    <s v="Canales Asistidos"/>
  </r>
  <r>
    <s v="Mapa"/>
    <s v="MF-03730"/>
    <x v="1"/>
    <x v="7"/>
    <s v="Definición de tipos de campañas"/>
    <x v="68"/>
    <s v="Funcional"/>
    <s v="Medio"/>
    <d v="2026-03-31T00:00:00"/>
    <m/>
    <m/>
    <m/>
    <s v="Sonia B."/>
    <b v="1"/>
    <s v="1.Identificada"/>
    <s v="Canales Asistidos"/>
  </r>
  <r>
    <s v="Mapa"/>
    <s v="MF-03450"/>
    <x v="3"/>
    <x v="22"/>
    <s v="Archivo LST - Estrategia de cobranzas"/>
    <x v="66"/>
    <s v="Técnica"/>
    <s v="Alta"/>
    <d v="2026-07-01T00:00:00"/>
    <m/>
    <d v="2026-10-15T00:00:00"/>
    <m/>
    <s v="Sonia B."/>
    <b v="1"/>
    <s v="2.Solicitada"/>
    <s v="Canales Asistidos"/>
  </r>
  <r>
    <s v="Mapa"/>
    <s v="MF-03440"/>
    <x v="1"/>
    <x v="7"/>
    <s v="Definir los roles para contact center"/>
    <x v="69"/>
    <s v="Funcional"/>
    <s v="Medio"/>
    <d v="2026-03-31T00:00:00"/>
    <m/>
    <m/>
    <m/>
    <s v="Sonia B."/>
    <b v="1"/>
    <s v="4.Resuelta"/>
    <s v="Canales Asistidos"/>
  </r>
  <r>
    <s v="Mapa"/>
    <s v="MF-03430"/>
    <x v="1"/>
    <x v="7"/>
    <s v="Definir los roles para contact center"/>
    <x v="70"/>
    <s v="Funcional"/>
    <s v="Medio"/>
    <d v="2026-03-31T00:00:00"/>
    <m/>
    <m/>
    <m/>
    <s v="Sonia B."/>
    <b v="1"/>
    <s v="4.Resuelta"/>
    <s v="Canales Asistidos"/>
  </r>
  <r>
    <s v="Mapa"/>
    <s v="MF-03420"/>
    <x v="1"/>
    <x v="7"/>
    <s v="Definir los roles para agencias"/>
    <x v="71"/>
    <s v="Funcional"/>
    <s v="Medio"/>
    <d v="2026-03-31T00:00:00"/>
    <m/>
    <m/>
    <m/>
    <s v="Sonia B."/>
    <b v="1"/>
    <s v="4.Resuelta"/>
    <s v="Canales Asistidos"/>
  </r>
  <r>
    <s v="Mapa"/>
    <s v="MF-03410"/>
    <x v="1"/>
    <x v="7"/>
    <s v="Definición de segmentos de cliente"/>
    <x v="72"/>
    <s v="Técnica"/>
    <s v="Medio"/>
    <d v="2026-08-07T00:00:00"/>
    <m/>
    <m/>
    <m/>
    <s v="Sonia B."/>
    <b v="1"/>
    <s v="1.Identificada"/>
    <s v="Canales Asistidos"/>
  </r>
  <r>
    <s v="Mapa"/>
    <s v="MF-03400"/>
    <x v="1"/>
    <x v="6"/>
    <s v="Definir la información que se requiere enviar al Datalake"/>
    <x v="73"/>
    <s v="Funcional"/>
    <s v="Medio"/>
    <d v="2026-06-26T00:00:00"/>
    <m/>
    <m/>
    <m/>
    <s v="Sonia B."/>
    <b v="1"/>
    <s v="1.Identificada"/>
    <s v="Canales Asistidos"/>
  </r>
  <r>
    <s v="Mapa"/>
    <s v="MF-03390"/>
    <x v="1"/>
    <x v="6"/>
    <s v="Definir la información que se requiere enviar al Datalake"/>
    <x v="74"/>
    <s v="Funcional"/>
    <s v="Medio"/>
    <d v="2026-06-26T00:00:00"/>
    <m/>
    <m/>
    <m/>
    <s v="Sonia B."/>
    <b v="1"/>
    <s v="1.Identificada"/>
    <s v="Canales Asistidos"/>
  </r>
  <r>
    <s v="Mapa"/>
    <s v="MF-03380"/>
    <x v="0"/>
    <x v="23"/>
    <s v="Integración &amp; Conectividad"/>
    <x v="75"/>
    <s v="Técnica"/>
    <s v="Alta"/>
    <d v="2026-10-30T00:00:00"/>
    <m/>
    <d v="2026-10-30T00:00:00"/>
    <s v="Se Probará en Junio con Simuladores en UAT"/>
    <s v="Fredy C."/>
    <b v="1"/>
    <s v="1.Identificada"/>
    <s v="Canales Asistidos"/>
  </r>
  <r>
    <s v="Mapa"/>
    <s v="MF-03330"/>
    <x v="0"/>
    <x v="23"/>
    <s v="Integración &amp; Conectividad"/>
    <x v="76"/>
    <s v="Técnica"/>
    <s v="Alta"/>
    <d v="2026-10-30T00:00:00"/>
    <m/>
    <d v="2026-10-30T00:00:00"/>
    <s v="Se Probará en Junio con Simuladores en UAT"/>
    <s v="Fredy C."/>
    <b v="1"/>
    <s v="1.Identificada"/>
    <s v="Canales Asistidos"/>
  </r>
  <r>
    <s v="Mapa"/>
    <s v="MF-03330"/>
    <x v="0"/>
    <x v="1"/>
    <s v="Control M"/>
    <x v="1"/>
    <s v="Técnica"/>
    <s v="Medio"/>
    <d v="2026-04-15T00:00:00"/>
    <m/>
    <m/>
    <m/>
    <s v="Sonia B."/>
    <b v="1"/>
    <s v="1.Identificada"/>
    <s v="Canales Asistidos"/>
  </r>
  <r>
    <s v="Mapa"/>
    <s v="MF-03315"/>
    <x v="1"/>
    <x v="9"/>
    <s v="Definición de herramienta a usar"/>
    <x v="77"/>
    <s v="Infraestructura"/>
    <s v="Alta"/>
    <d v="2026-06-05T00:00:00"/>
    <m/>
    <m/>
    <m/>
    <s v="Sonia B."/>
    <b v="1"/>
    <s v="1.Identificada"/>
    <s v="Canales Asistidos"/>
  </r>
  <r>
    <s v="Mapa"/>
    <s v="MF-03310"/>
    <x v="1"/>
    <x v="9"/>
    <s v="Definición de herramienta a usar"/>
    <x v="77"/>
    <s v="Infraestructura"/>
    <s v="Alta"/>
    <d v="2026-06-05T00:00:00"/>
    <m/>
    <m/>
    <m/>
    <s v="Sonia B."/>
    <b v="1"/>
    <s v="1.Identificada"/>
    <s v="Canales Asistidos"/>
  </r>
  <r>
    <s v="Mapa"/>
    <s v="MF-03305"/>
    <x v="1"/>
    <x v="1"/>
    <s v="Conectividad"/>
    <x v="52"/>
    <s v="Técnica"/>
    <m/>
    <d v="2026-06-05T00:00:00"/>
    <m/>
    <m/>
    <m/>
    <s v="Sonia B."/>
    <b v="1"/>
    <s v="1.Identificada"/>
    <s v="Canales Asistidos"/>
  </r>
  <r>
    <s v="Mapa"/>
    <s v="MF-03300"/>
    <x v="1"/>
    <x v="1"/>
    <s v="Conectividad"/>
    <x v="52"/>
    <s v="Técnica"/>
    <m/>
    <d v="2026-06-05T00:00:00"/>
    <m/>
    <m/>
    <m/>
    <s v="Sonia B."/>
    <b v="1"/>
    <s v="1.Identificada"/>
    <s v="Canales Asistidos"/>
  </r>
  <r>
    <s v="Mapa"/>
    <s v="MF-00180"/>
    <x v="1"/>
    <x v="1"/>
    <s v="Habilitacion de telefonía CC"/>
    <x v="78"/>
    <s v="Infraestructura"/>
    <s v="Alta"/>
    <d v="2026-06-05T00:00:00"/>
    <m/>
    <m/>
    <m/>
    <s v="Sonia B."/>
    <b v="1"/>
    <s v="1.Identificada"/>
    <s v="Canales Asistidos"/>
  </r>
  <r>
    <s v="Mapa"/>
    <m/>
    <x v="4"/>
    <x v="12"/>
    <s v="Fila 237 (Generación de data para analítica)"/>
    <x v="79"/>
    <m/>
    <m/>
    <m/>
    <m/>
    <m/>
    <m/>
    <m/>
    <b v="1"/>
    <s v="1.Identificada"/>
    <m/>
  </r>
  <r>
    <s v="Mapa"/>
    <m/>
    <x v="4"/>
    <x v="12"/>
    <s v="Fila 238 (Generación de data para analítica)"/>
    <x v="79"/>
    <m/>
    <m/>
    <m/>
    <m/>
    <m/>
    <m/>
    <m/>
    <b v="1"/>
    <s v="1.Identificada"/>
    <m/>
  </r>
  <r>
    <s v="Mapa"/>
    <s v="P-95"/>
    <x v="3"/>
    <x v="7"/>
    <s v="Validación de formatos blancos 1, 2 y 6"/>
    <x v="80"/>
    <s v="Técnica"/>
    <s v="Alta"/>
    <d v="2026-04-01T00:00:00"/>
    <m/>
    <d v="2026-04-01T00:00:00"/>
    <m/>
    <s v="Sonia B."/>
    <b v="1"/>
    <s v="2.Solicitada"/>
    <s v="Canales Asistidos"/>
  </r>
  <r>
    <s v="Mapa"/>
    <s v="P-95"/>
    <x v="3"/>
    <x v="6"/>
    <s v="Data de prueba – Base de Datos RGTRABAJO"/>
    <x v="81"/>
    <s v="Técnica"/>
    <s v="Alta"/>
    <d v="2026-04-07T00:00:00"/>
    <m/>
    <d v="2026-04-07T00:00:00"/>
    <m/>
    <s v="Sonia B."/>
    <b v="1"/>
    <s v="2.Solicitada"/>
    <s v="Canales Asistidos"/>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9">
  <r>
    <n v="1"/>
    <x v="0"/>
    <s v="Mapa"/>
    <s v="App-Login"/>
    <s v="Canal Digital"/>
    <s v="Interno-negocio SCB"/>
    <s v="Deficion Filtros - query de listado de clientes BT para crear usuario digital en SSS-Dynamo."/>
    <s v="Definir en conjunto con Angela y Carina los filtros a considerar en el query de consulta a la BD Bantotal para obtener listado de clientes a migrar a SSS-Dynamo para que se creen los usuarios digitales con clave en blanco(para resetear)."/>
    <s v="Funcional"/>
    <s v="Medio"/>
    <d v="2026-02-05T00:00:00"/>
    <d v="2026-03-23T00:00:00"/>
    <d v="2026-05-01T00:00:00"/>
    <n v="0"/>
    <s v="Angela "/>
    <b v="1"/>
    <x v="0"/>
    <s v="Digital"/>
    <s v="- Confirmar fecha"/>
    <x v="0"/>
  </r>
  <r>
    <n v="2"/>
    <x v="0"/>
    <s v="Mapa"/>
    <s v="App-Login"/>
    <s v="Canal Digital"/>
    <s v="ODS"/>
    <s v="Definir por parte de SSS la ruta donde desea que llegue el archivo de clientes migrados"/>
    <n v="0"/>
    <s v="Técnica"/>
    <s v="Medio"/>
    <d v="2026-02-05T00:00:00"/>
    <d v="2026-05-04T00:00:00"/>
    <d v="1899-12-30T00:00:00"/>
    <n v="0"/>
    <s v="ODS"/>
    <b v="1"/>
    <x v="0"/>
    <n v="0"/>
    <n v="0"/>
    <x v="0"/>
  </r>
  <r>
    <n v="3"/>
    <x v="0"/>
    <s v="Mapa"/>
    <s v="App-Login"/>
    <s v="Canal Digital"/>
    <s v="ODS"/>
    <s v="Procedimiento en SSS para carga de archivo de clientes migrados"/>
    <s v="contar con Procedimiento/script implementado por SSS para cargar de archivo de clientes migrados. "/>
    <s v="Técnica"/>
    <s v="Medio"/>
    <d v="2026-02-05T00:00:00"/>
    <d v="2026-10-04T00:00:00"/>
    <s v="TBD"/>
    <n v="0"/>
    <s v="Virginia C."/>
    <b v="1"/>
    <x v="1"/>
    <s v="Digital"/>
    <s v="- Confirmar fecha"/>
    <x v="0"/>
  </r>
  <r>
    <n v="4"/>
    <x v="0"/>
    <s v="Mapa"/>
    <s v="App-Recuperar Contraseña"/>
    <s v="Canal Digital"/>
    <s v="Prevencion de fraudes"/>
    <s v="Definicion de trama (campos) requerida por PF para monitorear la funcionalidad de recuperar contraseña"/>
    <s v="Ya se han realizado sessiones de trabajo con equipo de prevencion de fraudes y definido tramas para las funcionalidades del P1 , solo estaría quedando pendiente para el P1 la trama para la funcionalidad de recuperar contraseña"/>
    <s v="Funcional"/>
    <s v="Baja"/>
    <d v="2026-02-05T00:00:00"/>
    <d v="2026-05-02T00:00:00"/>
    <s v="TBD"/>
    <n v="0"/>
    <s v="Maria Flores"/>
    <b v="1"/>
    <x v="2"/>
    <s v="Digital"/>
    <s v="- Confirmar fecha"/>
    <x v="0"/>
  </r>
  <r>
    <n v="5"/>
    <x v="0"/>
    <s v="Mapa"/>
    <s v="App-Pago de Tarjeta de credito"/>
    <s v="Canal Digital"/>
    <s v="CM"/>
    <s v="Disponibilidad del CM en ambiente TEST para configurar plantilla de notificacion"/>
    <s v="Disponibilidad del CM en ambiente TEST para configurar plantilla de notificacion"/>
    <s v="Técnica"/>
    <s v="Medio"/>
    <d v="2026-04-15T00:00:00"/>
    <d v="1899-12-30T00:00:00"/>
    <s v="TBD"/>
    <n v="0"/>
    <s v="New LT CM"/>
    <b v="0"/>
    <x v="1"/>
    <s v="Digital"/>
    <n v="0"/>
    <x v="0"/>
  </r>
  <r>
    <n v="6"/>
    <x v="0"/>
    <s v="Mapa"/>
    <s v="App - Interoperabilidad"/>
    <s v="Canal Digital"/>
    <s v="BT / Apis Globales / CD"/>
    <s v="Definir apis requeridas que BT tiene que implementar para interoperabilidad"/>
    <s v="Sessiones de trabajo en conjunto con Bantotal, apis globales, Payments y canales digitales para definir las apis que BT debe implementar para soportar y probar la funcionalidad de Interoperabilidad"/>
    <s v="Técnica"/>
    <s v="Alta"/>
    <d v="2026-04-15T00:00:00"/>
    <d v="1899-12-30T00:00:00"/>
    <s v="TBD"/>
    <n v="0"/>
    <s v="Arnol Ingunza"/>
    <b v="0"/>
    <x v="1"/>
    <s v="Digital"/>
    <n v="0"/>
    <x v="0"/>
  </r>
  <r>
    <n v="7"/>
    <x v="0"/>
    <s v="Mapa"/>
    <s v="App - Interoperabilidad"/>
    <s v="Canal Digital"/>
    <s v="BT"/>
    <s v="plan de apis BT de interoperabilidad"/>
    <s v="posterior a session de definicion de apis BT , se debe obtener un plan de apis con fechas comprometidas en las que se van a poder utilizar por el canal App"/>
    <s v="Técnica"/>
    <s v="Alta"/>
    <d v="2026-04-22T00:00:00"/>
    <d v="1899-12-30T00:00:00"/>
    <s v="TBD"/>
    <n v="0"/>
    <s v="Julio Palomino"/>
    <b v="0"/>
    <x v="1"/>
    <s v="Digital"/>
    <n v="0"/>
    <x v="0"/>
  </r>
  <r>
    <n v="8"/>
    <x v="0"/>
    <s v="Mapa"/>
    <s v="App - transferencias inmediatas interbancarias"/>
    <s v="Canal Digital"/>
    <s v="ODS"/>
    <s v="Publicacion de cambios tecnicos por version ODS R10"/>
    <s v="Analisis de impacto posterior a la publicacion de cambios tecnicos por R10 (comentado para fin de abril) para la implementacion de funcionalidad de transferencias inmediatas"/>
    <s v="Técnica"/>
    <s v="Alta"/>
    <d v="2026-02-05T00:00:00"/>
    <d v="2026-05-02T00:00:00"/>
    <s v="TBD"/>
    <n v="0"/>
    <s v="Ana Marcos"/>
    <b v="0"/>
    <x v="1"/>
    <s v="Digital"/>
    <s v="- Confirmar fecha"/>
    <x v="0"/>
  </r>
  <r>
    <n v="9"/>
    <x v="0"/>
    <s v="Mapa"/>
    <s v="App - Pago de prestamo"/>
    <s v="Canal Digital"/>
    <s v="ODS"/>
    <s v="liberacion de nueva version ODS R10 para el programa Perú"/>
    <s v="Revisión funcional, tecnica y de experiencia post liberacion de nueva version R10 ODS"/>
    <s v="Técnica"/>
    <s v="Alta"/>
    <d v="2026-02-07T00:00:00"/>
    <d v="2026-07-02T00:00:00"/>
    <s v="TBD"/>
    <n v="0"/>
    <s v="Ana Marcos"/>
    <b v="0"/>
    <x v="2"/>
    <s v="Digital"/>
    <s v="- Confirmar fecha_x000a_- Donde está la solicitud"/>
    <x v="0"/>
  </r>
  <r>
    <n v="10"/>
    <x v="0"/>
    <s v="Mapa"/>
    <s v="App - Enrolamiento del dispositivo de confianza"/>
    <s v="Canal Digital"/>
    <s v="ODS"/>
    <s v="liberar capacidad de biometría con Reniec de parte de ODS en R10 para enrolamiento dispositivo"/>
    <s v="liberar capacidad de biometría con Reniec de parte de ODS en R10 para incluirlo como reto de seguridad en enrolamiento de dispositivo."/>
    <s v="Técnica"/>
    <s v="Alta"/>
    <d v="2026-02-07T00:00:00"/>
    <d v="2026-07-02T00:00:00"/>
    <s v="TBD"/>
    <n v="0"/>
    <s v="Ana Marcos"/>
    <b v="0"/>
    <x v="2"/>
    <s v="Digital"/>
    <s v="- Confirmar fecha_x000a_- Donde está la solicitud"/>
    <x v="0"/>
  </r>
  <r>
    <n v="11"/>
    <x v="0"/>
    <s v="Mapa"/>
    <s v="App-Cross"/>
    <s v="Canal Digital"/>
    <s v="ODS"/>
    <s v="Publicacion de apis impactadas por version ODS R10"/>
    <s v="Se requiere la publicacion del listado de apis globales a consumir por el canal, impactadas por nueva version ODS con su detalle respectivo. Con ello realizar una analisis general de impacto en  todas las funcionalidades del canal"/>
    <s v="Técnica"/>
    <s v="Alta"/>
    <d v="2026-02-05T00:00:00"/>
    <d v="2026-05-02T00:00:00"/>
    <s v="TBD"/>
    <n v="0"/>
    <s v="Ana Marcos"/>
    <b v="0"/>
    <x v="1"/>
    <s v="Digital"/>
    <s v="- Confirmar fecha_x000a_- Donde está la solicitud"/>
    <x v="0"/>
  </r>
  <r>
    <n v="12"/>
    <x v="0"/>
    <s v="Mapa"/>
    <s v="App-Cross"/>
    <s v="Canal Digital"/>
    <s v="ODS"/>
    <s v="Figmas tropicalizados Peru de Funcionalidades PI2"/>
    <s v="Diseño de Figmas Tropicalizados de PI2 (Cards, Frontend Services, Security, Loans, PG, Deposits)"/>
    <s v="Funcional"/>
    <s v="Alta"/>
    <d v="2026-03-20T00:00:00"/>
    <d v="1899-12-30T00:00:00"/>
    <d v="2026-03-20T00:00:00"/>
    <n v="0"/>
    <s v="Ana Marcos"/>
    <b v="1"/>
    <x v="0"/>
    <s v="Digital"/>
    <s v="De las epicas 14 ya solicitadas - ok_x000a_"/>
    <x v="0"/>
  </r>
  <r>
    <n v="13"/>
    <x v="0"/>
    <s v="Mapa"/>
    <s v="App-Cross"/>
    <s v="Canal Digital"/>
    <s v="ODS"/>
    <s v="scripts de pruebas automatizadas de PI 1 subidos en su GITHUB "/>
    <s v="Lo coordinado con ODS es que compartan sus scripts automatizados para hacerle adecuaciones para ejecucion de pruebas end to end Perú. se espera que estos scripts lleguen a finales de marzo, maximo primera semana de abril (funcionalidades :device manager, app information, customer landing, personal detail, account detail)"/>
    <s v="Técnica"/>
    <s v="Medio"/>
    <d v="2026-03-31T00:00:00"/>
    <d v="1899-12-30T00:00:00"/>
    <d v="2026-08-04T00:00:00"/>
    <n v="0"/>
    <s v="Ana Marcos"/>
    <b v="0"/>
    <x v="2"/>
    <s v="Digital"/>
    <n v="0"/>
    <x v="0"/>
  </r>
  <r>
    <n v="14"/>
    <x v="0"/>
    <s v="Mapa"/>
    <s v="App-Cross"/>
    <s v="Canal Digital"/>
    <s v="ODS"/>
    <s v="entrega de apis globales PI 2 - en fechas planificadas"/>
    <s v="Contar con la entrega de endpoints planificados para el PI 2 :_x000a_-D0-046-V3, D1-078, D1-081, D1-084, D1-001_x000a_-D1-111_v2, D1-169, D1-173, D1-204, D1-002_x000a_-D0-072_v2, D1-120, D1-121, D2-001, D1-007_x000a_"/>
    <s v="Técnica"/>
    <s v="Medio"/>
    <d v="2026-10-04T00:00:00"/>
    <d v="1899-12-30T00:00:00"/>
    <d v="2026-10-04T00:00:00"/>
    <n v="0"/>
    <s v="Ana Marcos"/>
    <b v="0"/>
    <x v="2"/>
    <s v="Digital"/>
    <n v="0"/>
    <x v="1"/>
  </r>
  <r>
    <n v="15"/>
    <x v="0"/>
    <s v="Mapa"/>
    <s v="App-Cross"/>
    <s v="Canal Digital"/>
    <s v="ODS"/>
    <s v="Figmas tropicalizados Peru de Funcionalidades PI2 ampliado"/>
    <s v="Se ha solicita 3 épicas adicionales, pendiente entrega de los figmas personalizados"/>
    <s v="Funcional"/>
    <s v="Media"/>
    <d v="2026-04-30T00:00:00"/>
    <d v="1899-12-30T00:00:00"/>
    <d v="2026-04-30T00:00:00"/>
    <n v="0"/>
    <s v="Ana Marcos"/>
    <b v="1"/>
    <x v="3"/>
    <n v="0"/>
    <s v="De las nuevas solicitudes, la fecha de entrega es al 30/04"/>
    <x v="0"/>
  </r>
  <r>
    <n v="16"/>
    <x v="0"/>
    <s v="Mapa"/>
    <s v="PG: Espacios conversacionales - ofertas preaprobadas"/>
    <s v="Canal Digital"/>
    <s v="Canal digital-equipo interno"/>
    <s v="Implementar un front backoffice para gestionar las imagenes y estilos para espacios conversacionales"/>
    <s v="Implementar un front backoffice para gestionar las imagenes y los estilos de  titulos y textos a mostrar en los espacios conversaciones que es el primer paso para un proceso de contracting."/>
    <s v="Técnica"/>
    <s v="Medio"/>
    <d v="2026-08-01T00:00:00"/>
    <d v="2026-08-01T00:00:00"/>
    <d v="2026-01-08T00:00:00"/>
    <n v="0"/>
    <s v="Luis Rosales"/>
    <b v="1"/>
    <x v="1"/>
    <s v="Digital"/>
    <s v="- Revisar fecha"/>
    <x v="1"/>
  </r>
  <r>
    <n v="17"/>
    <x v="0"/>
    <s v="Mapa"/>
    <s v="PG : Visualizar lista de productos disponibles del cliente"/>
    <s v="Canal Digital"/>
    <s v="Negocio Pasivos"/>
    <s v="Cerrar estados de tarjetas de credito"/>
    <s v="Se necesita que negocio cierre todos los estados que pueda manejar las tarjetas de Crédito dentro de Izipay por ello se debe de hacer una mesa de trabajo con el BB de Cards después que se defina que tarjetas de crédito quiere mostrar en la app. "/>
    <s v="Funcional"/>
    <s v="Baja"/>
    <d v="2026-04-01T00:00:00"/>
    <d v="2026-04-01T00:00:00"/>
    <d v="2026-01-04T00:00:00"/>
    <n v="0"/>
    <s v="Angela Verde"/>
    <b v="1"/>
    <x v="0"/>
    <s v="Digital"/>
    <s v="Se obtuvo VB con el negocio, Henry envía evidencia"/>
    <x v="0"/>
  </r>
  <r>
    <n v="1"/>
    <x v="1"/>
    <s v="Plan"/>
    <s v="P-391"/>
    <s v="Reclamos y Dalis"/>
    <s v="Seguridad y Redes"/>
    <s v="Conectividad"/>
    <s v="Habilitar firewalls en la VPN local para ingresar al ambiente preproductivo de Reclamos y DALIs"/>
    <s v="Técnica"/>
    <s v="Alta"/>
    <d v="2026-03-30T00:00:00"/>
    <d v="1899-12-30T00:00:00"/>
    <d v="2026-03-30T00:00:00"/>
    <n v="0"/>
    <s v="Cesar Villanueva"/>
    <b v="1"/>
    <x v="0"/>
    <s v="Canales Asistidos"/>
    <n v="0"/>
    <x v="0"/>
  </r>
  <r>
    <n v="2"/>
    <x v="1"/>
    <s v="Plan"/>
    <s v="P-360"/>
    <s v="SPACE"/>
    <s v="Infraestructura"/>
    <s v="Control M"/>
    <s v="Control M: transferencia de archivos"/>
    <s v="Técnica"/>
    <s v="Medio"/>
    <d v="2026-04-15T00:00:00"/>
    <d v="1899-12-30T00:00:00"/>
    <d v="1899-12-30T00:00:00"/>
    <n v="0"/>
    <s v="Sonia B."/>
    <b v="1"/>
    <x v="1"/>
    <s v="Canales Asistidos"/>
    <n v="0"/>
    <x v="0"/>
  </r>
  <r>
    <n v="3"/>
    <x v="1"/>
    <s v="Plan"/>
    <s v="P-360"/>
    <s v="SPACE"/>
    <s v="Infraestructura"/>
    <s v="Habilitacion de accesos"/>
    <s v="Habilitacion de usuarios de desarrollo AWS DATA"/>
    <s v="Técnica"/>
    <s v="Medio"/>
    <d v="2026-03-31T00:00:00"/>
    <d v="1899-12-30T00:00:00"/>
    <d v="1899-12-30T00:00:00"/>
    <n v="0"/>
    <s v="Sonia B."/>
    <b v="1"/>
    <x v="1"/>
    <s v="Canales Asistidos"/>
    <n v="0"/>
    <x v="0"/>
  </r>
  <r>
    <n v="4"/>
    <x v="1"/>
    <s v="Plan"/>
    <s v="P-353"/>
    <s v="SPACE"/>
    <s v="SPACE"/>
    <s v="Integracion Entra ID"/>
    <s v="Integracion con Entra ID"/>
    <s v="Técnica"/>
    <s v="Medio"/>
    <d v="2026-08-07T00:00:00"/>
    <d v="1899-12-30T00:00:00"/>
    <d v="1899-12-30T00:00:00"/>
    <n v="0"/>
    <s v="Sonia B."/>
    <b v="1"/>
    <x v="1"/>
    <s v="Canales Asistidos"/>
    <n v="0"/>
    <x v="1"/>
  </r>
  <r>
    <n v="5"/>
    <x v="1"/>
    <s v="Plan"/>
    <s v="P-349"/>
    <s v="SPACE"/>
    <s v="Bantotal"/>
    <s v="Carga inicial"/>
    <s v="Carga inicial"/>
    <s v="Técnica"/>
    <s v="Medio"/>
    <d v="2026-07-31T00:00:00"/>
    <d v="1899-12-30T00:00:00"/>
    <d v="1899-12-30T00:00:00"/>
    <n v="0"/>
    <s v="Sonia B."/>
    <b v="1"/>
    <x v="1"/>
    <s v="Canales Asistidos"/>
    <n v="0"/>
    <x v="1"/>
  </r>
  <r>
    <n v="6"/>
    <x v="1"/>
    <s v="Plan"/>
    <s v="P-169"/>
    <s v="SPACE"/>
    <s v="Cyberfinancial"/>
    <s v="Integracion"/>
    <s v="Integracion con Entra ID"/>
    <s v="Técnica"/>
    <s v="Medio"/>
    <d v="2026-04-24T00:00:00"/>
    <d v="1899-12-30T00:00:00"/>
    <d v="1899-12-30T00:00:00"/>
    <n v="0"/>
    <s v="Sonia B."/>
    <b v="1"/>
    <x v="1"/>
    <s v="Canales Asistidos"/>
    <n v="0"/>
    <x v="0"/>
  </r>
  <r>
    <n v="7"/>
    <x v="1"/>
    <s v="Plan"/>
    <s v="P-031"/>
    <s v="Mesa de Concesiones"/>
    <s v="Ciberseguridad"/>
    <s v="Habilitación para integración con entraID"/>
    <s v="Habilitación para integración con entraID"/>
    <s v="Técnica"/>
    <s v="Baja"/>
    <d v="2026-06-15T00:00:00"/>
    <d v="1899-12-30T00:00:00"/>
    <s v="TBD"/>
    <n v="0"/>
    <s v="Cesar Villanueva"/>
    <b v="1"/>
    <x v="1"/>
    <s v="Canales Asistidos"/>
    <n v="0"/>
    <x v="1"/>
  </r>
  <r>
    <n v="8"/>
    <x v="1"/>
    <s v="Mapa"/>
    <s v="MF-06210"/>
    <s v="Cyberfinancial"/>
    <s v="Data"/>
    <s v="Migracion"/>
    <s v="Migracion de audios cobranza"/>
    <s v="Técnica"/>
    <s v="Alta"/>
    <d v="2026-06-12T00:00:00"/>
    <d v="1899-12-30T00:00:00"/>
    <s v="TBD"/>
    <n v="0"/>
    <s v="Sonia B."/>
    <b v="1"/>
    <x v="2"/>
    <s v="Canales Asistidos"/>
    <n v="0"/>
    <x v="1"/>
  </r>
  <r>
    <n v="9"/>
    <x v="1"/>
    <s v="Mapa"/>
    <s v="MF-05967"/>
    <s v="Reclamos y Dalis"/>
    <s v="Data"/>
    <s v="Migracion"/>
    <s v="Migracion historica de reclamos y carga de audios."/>
    <s v="Funcional"/>
    <s v="Medio"/>
    <d v="2026-06-26T00:00:00"/>
    <d v="1899-12-30T00:00:00"/>
    <d v="1899-12-30T00:00:00"/>
    <n v="0"/>
    <s v="Jean Paul"/>
    <b v="1"/>
    <x v="1"/>
    <s v="Canales Asistidos"/>
    <n v="0"/>
    <x v="1"/>
  </r>
  <r>
    <n v="10"/>
    <x v="1"/>
    <s v="Mapa"/>
    <s v="MF-05940"/>
    <s v="Mesa de Concesiones"/>
    <s v="Negocio"/>
    <s v="Definición de modificaciones de documentos"/>
    <s v="Definir las modificaciones de documentos y registro de trazabilidad"/>
    <s v="Funcional"/>
    <s v="Baja"/>
    <d v="2026-04-17T00:00:00"/>
    <d v="1899-12-30T00:00:00"/>
    <s v="TBD"/>
    <n v="0"/>
    <s v="Jorge Urrutia"/>
    <b v="1"/>
    <x v="1"/>
    <s v="Canales Asistidos"/>
    <n v="0"/>
    <x v="0"/>
  </r>
  <r>
    <n v="11"/>
    <x v="1"/>
    <s v="Mapa"/>
    <s v="MF-05890"/>
    <s v="Mesa de Concesiones"/>
    <s v="Negocio"/>
    <s v="Definición de notificaciones"/>
    <s v="Definición de notificaciones dentro de la Gestión de rechazo de la solicitud"/>
    <s v="Funcional"/>
    <s v="Baja"/>
    <d v="2026-06-15T00:00:00"/>
    <d v="1899-12-30T00:00:00"/>
    <s v="TBD"/>
    <n v="0"/>
    <s v="Jorge Urrutia"/>
    <b v="1"/>
    <x v="1"/>
    <s v="Canales Asistidos"/>
    <n v="0"/>
    <x v="1"/>
  </r>
  <r>
    <n v="12"/>
    <x v="1"/>
    <s v="Mapa"/>
    <s v="MF-05880"/>
    <s v="Mesa de Concesiones"/>
    <s v="Negocio"/>
    <s v="Definición de checklist de documentos por rechazo"/>
    <s v="Definición de estructura de documentos para los sustentos por observación"/>
    <s v="Funcional"/>
    <s v="Medio"/>
    <d v="2026-06-15T00:00:00"/>
    <d v="1899-12-30T00:00:00"/>
    <s v="TBD"/>
    <n v="0"/>
    <s v="Jorge Urrutia"/>
    <b v="1"/>
    <x v="1"/>
    <s v="Canales Asistidos"/>
    <n v="0"/>
    <x v="1"/>
  </r>
  <r>
    <n v="13"/>
    <x v="1"/>
    <s v="Mapa"/>
    <s v="MF-05870"/>
    <s v="Mesa de Concesiones"/>
    <s v="Aplicaciones de Soporte"/>
    <s v="Apis"/>
    <s v="Desarrollo de 8 APIs para obtener resultados de evaluación, gestor documental y notificaciones"/>
    <s v="Técnica"/>
    <s v="Alta"/>
    <d v="2026-06-15T00:00:00"/>
    <d v="1899-12-30T00:00:00"/>
    <s v="TBD"/>
    <n v="0"/>
    <s v="Jaime H."/>
    <b v="1"/>
    <x v="2"/>
    <s v="Canales Asistidos"/>
    <n v="0"/>
    <x v="1"/>
  </r>
  <r>
    <n v="14"/>
    <x v="1"/>
    <s v="Mapa"/>
    <s v="MF-05860"/>
    <s v="Mesa de Concesiones"/>
    <s v="Negocio"/>
    <s v="Definición de funcionalidades para la Bandeja de Supervisor"/>
    <s v="Definición de KPIs, dashboard y vistas clave para el supervisor"/>
    <s v="Funcional"/>
    <s v="Medio"/>
    <d v="2026-04-17T00:00:00"/>
    <d v="1899-12-30T00:00:00"/>
    <s v="TBD"/>
    <n v="0"/>
    <s v="Jorge Urrutia"/>
    <b v="1"/>
    <x v="1"/>
    <s v="Canales Asistidos"/>
    <n v="0"/>
    <x v="0"/>
  </r>
  <r>
    <n v="15"/>
    <x v="1"/>
    <s v="Mapa"/>
    <s v="MF-05850"/>
    <s v="Mesa de Concesiones"/>
    <s v="Negocio"/>
    <s v="Definición de diseño de mesa de autonomía"/>
    <s v="Definición de atención de Mesa de Autonomías"/>
    <s v="Funcional"/>
    <s v="Medio"/>
    <d v="2026-03-23T00:00:00"/>
    <d v="1899-12-30T00:00:00"/>
    <d v="2026-03-23T00:00:00"/>
    <n v="0"/>
    <s v="Jorge Urrutia"/>
    <b v="1"/>
    <x v="0"/>
    <s v="Canales Asistidos"/>
    <n v="0"/>
    <x v="0"/>
  </r>
  <r>
    <n v="16"/>
    <x v="1"/>
    <s v="Mapa"/>
    <s v="MF-05850"/>
    <s v="Mesa de Concesiones"/>
    <s v="Negocio"/>
    <s v="Definición administrador de autonomías"/>
    <s v="Definición de módulo de administración de Autonomías"/>
    <s v="Funcional"/>
    <s v="Medio"/>
    <d v="2026-03-27T00:00:00"/>
    <d v="2026-04-10T00:00:00"/>
    <s v="TBD"/>
    <n v="0"/>
    <s v="Jorge Urrutia"/>
    <b v="1"/>
    <x v="3"/>
    <s v="Canales Asistidos"/>
    <n v="0"/>
    <x v="0"/>
  </r>
  <r>
    <n v="17"/>
    <x v="1"/>
    <s v="Mapa"/>
    <s v="MF-05840"/>
    <s v="Mesa de Concesiones"/>
    <s v="Negocio"/>
    <s v="Definición modelo de atención"/>
    <s v="Definición de modelo de atención en Bandeja de Mesa de Concesiones (Asignación manual / automática)"/>
    <s v="Funcional"/>
    <s v="Alta"/>
    <d v="2026-03-27T00:00:00"/>
    <d v="2026-04-10T00:00:00"/>
    <s v="TBD"/>
    <n v="0"/>
    <s v="Jorge Urrutia"/>
    <b v="1"/>
    <x v="3"/>
    <s v="Canales Asistidos"/>
    <n v="0"/>
    <x v="0"/>
  </r>
  <r>
    <n v="18"/>
    <x v="1"/>
    <s v="Mapa"/>
    <s v="MF-05840"/>
    <s v="Mesa de Concesiones"/>
    <s v="Negocio"/>
    <s v="Definición de SLAs"/>
    <s v="Definición de SLAs de atención y planes de acción"/>
    <s v="Funcional"/>
    <s v="Alta"/>
    <d v="2026-03-27T00:00:00"/>
    <d v="2026-04-10T00:00:00"/>
    <s v="TBD"/>
    <n v="0"/>
    <s v="Jorge Urrutia"/>
    <b v="1"/>
    <x v="1"/>
    <s v="Canales Asistidos"/>
    <n v="0"/>
    <x v="0"/>
  </r>
  <r>
    <n v="19"/>
    <x v="1"/>
    <s v="Mapa"/>
    <s v="MF-05830"/>
    <s v="Mesa de Concesiones"/>
    <s v="Bantotal"/>
    <s v=" "/>
    <s v="Integración con BT para enviar solicitudes evaluadas a Mesa de Concesiones"/>
    <s v="Técnica"/>
    <s v="Alta"/>
    <d v="2026-06-15T00:00:00"/>
    <d v="1899-12-30T00:00:00"/>
    <s v="TBD"/>
    <n v="0"/>
    <s v="Julio Palomino"/>
    <b v="1"/>
    <x v="1"/>
    <s v="Canales Asistidos"/>
    <n v="0"/>
    <x v="1"/>
  </r>
  <r>
    <n v="20"/>
    <x v="1"/>
    <s v="Mapa"/>
    <s v="MF-05830"/>
    <s v="Mesa de Concesiones"/>
    <s v="Ciberseguridad"/>
    <s v="Integración con SPACE"/>
    <s v="Integración con SPACE para embeber Mesa de Concesiones"/>
    <s v="Técnica"/>
    <s v="Baja"/>
    <d v="2026-07-17T00:00:00"/>
    <d v="1899-12-30T00:00:00"/>
    <s v="TBD"/>
    <n v="0"/>
    <s v="Jorge Urrutia"/>
    <b v="1"/>
    <x v="1"/>
    <s v="Canales Asistidos"/>
    <n v="0"/>
    <x v="1"/>
  </r>
  <r>
    <n v="21"/>
    <x v="1"/>
    <s v="Mapa"/>
    <s v="MF-05800"/>
    <s v="Mesa de Concesiones"/>
    <s v="Negocio"/>
    <s v="Definición de roles"/>
    <s v="Definición de roles que tendrán acceso a Mesa de Concesiones"/>
    <s v="Funcional"/>
    <s v="Medio"/>
    <d v="2026-04-10T00:00:00"/>
    <d v="1899-12-30T00:00:00"/>
    <s v="TBD"/>
    <n v="0"/>
    <s v="Jorge Urrutia"/>
    <b v="1"/>
    <x v="1"/>
    <s v="Canales Asistidos"/>
    <n v="0"/>
    <x v="0"/>
  </r>
  <r>
    <n v="22"/>
    <x v="1"/>
    <s v="Mapa"/>
    <s v="MF-05790"/>
    <s v="SPACE"/>
    <s v="Data"/>
    <s v="Fuente de origen de campañas"/>
    <s v="Proceso de exportación de campañas"/>
    <s v="Funcional"/>
    <s v="Medio"/>
    <d v="2026-04-24T00:00:00"/>
    <d v="1899-12-30T00:00:00"/>
    <d v="1899-12-30T00:00:00"/>
    <n v="0"/>
    <s v="Sonia B."/>
    <b v="1"/>
    <x v="1"/>
    <s v="Canales Asistidos"/>
    <n v="0"/>
    <x v="0"/>
  </r>
  <r>
    <n v="23"/>
    <x v="1"/>
    <s v="Mapa"/>
    <s v="MF-05790"/>
    <s v="SPACE"/>
    <s v="Bantotal"/>
    <s v="Fuente de origen de campañas"/>
    <s v="Proceso de exportación de campañas"/>
    <s v="Funcional"/>
    <s v="Medio"/>
    <d v="2026-04-24T00:00:00"/>
    <d v="1899-12-30T00:00:00"/>
    <d v="1899-12-30T00:00:00"/>
    <n v="0"/>
    <s v="Sonia B."/>
    <b v="1"/>
    <x v="1"/>
    <s v="Canales Asistidos"/>
    <n v="0"/>
    <x v="0"/>
  </r>
  <r>
    <n v="24"/>
    <x v="1"/>
    <s v="Mapa"/>
    <s v="MF-05770"/>
    <s v="SPACE"/>
    <s v="Bantotal"/>
    <s v="Fuente de origen de clientes desde BT"/>
    <s v="Proceso de exportación de clientes desde BT"/>
    <s v="Funcional"/>
    <s v="Medio"/>
    <d v="2026-04-24T00:00:00"/>
    <d v="1899-12-30T00:00:00"/>
    <d v="1899-12-30T00:00:00"/>
    <n v="0"/>
    <s v="Sonia B."/>
    <b v="1"/>
    <x v="1"/>
    <s v="Canales Asistidos"/>
    <n v="0"/>
    <x v="0"/>
  </r>
  <r>
    <n v="25"/>
    <x v="1"/>
    <s v="Mapa"/>
    <s v="MF-05760"/>
    <s v="SPACE"/>
    <s v="Bantotal"/>
    <s v="Definición de carga de datos"/>
    <s v="Definir fuente origen para carga de campañas "/>
    <s v="Técnica"/>
    <s v="Medio"/>
    <d v="2026-03-31T00:00:00"/>
    <d v="2026-04-07T00:00:00"/>
    <d v="1899-12-30T00:00:00"/>
    <n v="0"/>
    <s v="Sonia B."/>
    <b v="1"/>
    <x v="0"/>
    <s v="Canales Asistidos"/>
    <n v="0"/>
    <x v="0"/>
  </r>
  <r>
    <n v="26"/>
    <x v="1"/>
    <s v="Mapa"/>
    <s v="MF-05760"/>
    <s v="SPACE"/>
    <s v="Bantotal"/>
    <s v="Confirmacion de información"/>
    <s v="Confirmar donde residirán los No clientes (Personas que NO son clientes del Banco) "/>
    <s v="Técnica"/>
    <s v="Medio"/>
    <d v="2026-03-27T00:00:00"/>
    <d v="1899-12-30T00:00:00"/>
    <d v="1899-12-30T00:00:00"/>
    <n v="0"/>
    <s v="Sonia B."/>
    <b v="1"/>
    <x v="0"/>
    <s v="Canales Asistidos"/>
    <n v="0"/>
    <x v="0"/>
  </r>
  <r>
    <n v="27"/>
    <x v="1"/>
    <s v="Mapa"/>
    <s v="MF-05760"/>
    <s v="SPACE"/>
    <s v="Bantotal"/>
    <s v="Configuracion de estructura comercial"/>
    <s v="Estructura Comercial de Agencias y CC "/>
    <s v="Técnica"/>
    <s v="Medio"/>
    <d v="2026-04-10T00:00:00"/>
    <d v="1899-12-30T00:00:00"/>
    <d v="1899-12-30T00:00:00"/>
    <n v="0"/>
    <s v="Sonia B."/>
    <b v="1"/>
    <x v="1"/>
    <s v="Canales Asistidos"/>
    <n v="0"/>
    <x v="0"/>
  </r>
  <r>
    <n v="28"/>
    <x v="1"/>
    <s v="Mapa"/>
    <s v="MF-05750"/>
    <s v="SPACE"/>
    <s v="Bantotal"/>
    <s v="Fuente de origen de campañas"/>
    <s v="Proceso de exportación de campañas"/>
    <s v="Funcional"/>
    <s v="Medio"/>
    <d v="2026-04-24T00:00:00"/>
    <d v="1899-12-30T00:00:00"/>
    <d v="1899-12-30T00:00:00"/>
    <n v="0"/>
    <s v="Sonia B."/>
    <b v="1"/>
    <x v="1"/>
    <s v="Canales Asistidos"/>
    <n v="0"/>
    <x v="0"/>
  </r>
  <r>
    <n v="29"/>
    <x v="1"/>
    <s v="Mapa"/>
    <s v="MF-05750"/>
    <s v="SPACE"/>
    <s v="Data"/>
    <s v="Fuente de origen de campañas"/>
    <s v="Proceso de exportación de campañas"/>
    <s v="Funcional"/>
    <s v="Medio"/>
    <d v="2026-04-24T00:00:00"/>
    <d v="1899-12-30T00:00:00"/>
    <d v="1899-12-30T00:00:00"/>
    <n v="0"/>
    <s v="Sonia B."/>
    <b v="1"/>
    <x v="1"/>
    <s v="Canales Asistidos"/>
    <n v="0"/>
    <x v="0"/>
  </r>
  <r>
    <n v="30"/>
    <x v="1"/>
    <s v="Mapa"/>
    <s v="MF-05740"/>
    <s v="SPACE"/>
    <s v="Data"/>
    <s v="Fuente de origen de prospectos"/>
    <s v="Proceso de exportación de prospectos"/>
    <s v="Funcional"/>
    <s v="Medio"/>
    <d v="2026-04-24T00:00:00"/>
    <d v="1899-12-30T00:00:00"/>
    <d v="1899-12-30T00:00:00"/>
    <n v="0"/>
    <s v="Sonia B."/>
    <b v="1"/>
    <x v="1"/>
    <s v="Canales Asistidos"/>
    <n v="0"/>
    <x v="0"/>
  </r>
  <r>
    <n v="31"/>
    <x v="1"/>
    <s v="Mapa"/>
    <s v="MF-05730"/>
    <s v="SPACE"/>
    <s v="Bantotal"/>
    <s v="Fuente de origen de clientes desde BT"/>
    <s v="Proceso de exportación de clientes desde BT"/>
    <s v="Funcional"/>
    <s v="Medio"/>
    <d v="2026-04-24T00:00:00"/>
    <d v="1899-12-30T00:00:00"/>
    <d v="1899-12-30T00:00:00"/>
    <n v="0"/>
    <s v="Sonia B."/>
    <b v="1"/>
    <x v="1"/>
    <s v="Canales Asistidos"/>
    <n v="0"/>
    <x v="0"/>
  </r>
  <r>
    <n v="32"/>
    <x v="1"/>
    <s v="Mapa"/>
    <s v="MF-05720"/>
    <s v="SPACE"/>
    <s v="Bantotal"/>
    <s v="Definición de carga de datos"/>
    <s v="Definir fuente origen para carga de campañas "/>
    <s v="Técnica"/>
    <s v="Medio"/>
    <d v="2026-03-31T00:00:00"/>
    <d v="2026-04-07T00:00:00"/>
    <d v="1899-12-30T00:00:00"/>
    <n v="0"/>
    <s v="Sonia B."/>
    <b v="1"/>
    <x v="0"/>
    <s v="Canales Asistidos"/>
    <n v="0"/>
    <x v="0"/>
  </r>
  <r>
    <n v="33"/>
    <x v="1"/>
    <s v="Mapa"/>
    <s v="MF-05720"/>
    <s v="SPACE"/>
    <s v="Bantotal"/>
    <s v="Confirmacion de información"/>
    <s v="Confirmar donde residirán los No clientes (Personas que NO son clientes del Banco) "/>
    <s v="Técnica"/>
    <s v="Medio"/>
    <d v="2026-03-27T00:00:00"/>
    <d v="1899-12-30T00:00:00"/>
    <d v="1899-12-30T00:00:00"/>
    <n v="0"/>
    <s v="Sonia B."/>
    <b v="1"/>
    <x v="0"/>
    <s v="Canales Asistidos"/>
    <n v="0"/>
    <x v="0"/>
  </r>
  <r>
    <n v="34"/>
    <x v="1"/>
    <s v="Mapa"/>
    <s v="MF-05720"/>
    <s v="SPACE"/>
    <s v="Bantotal"/>
    <s v="Configuracion de estructura comercial"/>
    <s v="Estructura Comercial de Agencias y CC "/>
    <s v="Técnica"/>
    <s v="Medio"/>
    <d v="2026-04-10T00:00:00"/>
    <d v="1899-12-30T00:00:00"/>
    <d v="1899-12-30T00:00:00"/>
    <n v="0"/>
    <s v="Sonia B."/>
    <b v="1"/>
    <x v="1"/>
    <s v="Canales Asistidos"/>
    <n v="0"/>
    <x v="0"/>
  </r>
  <r>
    <n v="35"/>
    <x v="1"/>
    <s v="Mapa"/>
    <s v="MF-05710"/>
    <s v="Reclamos y Dalis"/>
    <s v="Negocio"/>
    <s v="Definir los roles para back office"/>
    <s v="Configuración de roles para back office (RECLAMOS)"/>
    <s v="Funcional"/>
    <s v="Medio"/>
    <d v="2026-06-01T00:00:00"/>
    <d v="1899-12-30T00:00:00"/>
    <d v="1899-12-30T00:00:00"/>
    <n v="0"/>
    <s v="Sonia B."/>
    <b v="1"/>
    <x v="1"/>
    <s v="Canales Asistidos"/>
    <n v="0"/>
    <x v="1"/>
  </r>
  <r>
    <n v="36"/>
    <x v="1"/>
    <s v="Mapa"/>
    <s v="MF-05700"/>
    <s v="Reclamos y Dalis"/>
    <s v="Negocio"/>
    <s v="Definir los roles para agencias"/>
    <s v="Configuración de roles para agencias (RECLAMOS)"/>
    <s v="Funcional"/>
    <s v="Medio"/>
    <d v="2026-06-01T00:00:00"/>
    <d v="1899-12-30T00:00:00"/>
    <d v="1899-12-30T00:00:00"/>
    <n v="0"/>
    <s v="Sonia B."/>
    <b v="1"/>
    <x v="1"/>
    <s v="Canales Asistidos"/>
    <n v="0"/>
    <x v="1"/>
  </r>
  <r>
    <n v="37"/>
    <x v="1"/>
    <s v="Mapa"/>
    <s v="MF-05690"/>
    <s v="Reclamos y Dalis"/>
    <s v="Negocio"/>
    <s v="Definir los roles para contact center"/>
    <s v="Configuración los roles para contact center (RECLAMOS)"/>
    <s v="Funcional"/>
    <s v="Medio"/>
    <d v="2026-06-01T00:00:00"/>
    <d v="1899-12-30T00:00:00"/>
    <d v="1899-12-30T00:00:00"/>
    <n v="0"/>
    <s v="Sonia B."/>
    <b v="1"/>
    <x v="1"/>
    <s v="Canales Asistidos"/>
    <n v="0"/>
    <x v="1"/>
  </r>
  <r>
    <n v="38"/>
    <x v="1"/>
    <s v="Mapa"/>
    <s v="MF-05680"/>
    <s v="Reclamos y Dalis"/>
    <s v="Negocio"/>
    <s v="Definir los roles para back office"/>
    <s v="Configuración de roles para back office (DALIS)"/>
    <s v="Funcional"/>
    <s v="Medio"/>
    <d v="2026-06-01T00:00:00"/>
    <d v="1899-12-30T00:00:00"/>
    <d v="1899-12-30T00:00:00"/>
    <n v="0"/>
    <s v="Sonia B."/>
    <b v="1"/>
    <x v="1"/>
    <s v="Canales Asistidos"/>
    <n v="0"/>
    <x v="1"/>
  </r>
  <r>
    <n v="39"/>
    <x v="1"/>
    <s v="Mapa"/>
    <s v="MF-05670"/>
    <s v="Reclamos y Dalis"/>
    <s v="Negocio"/>
    <s v="Definir los roles para agencias"/>
    <s v="Configuración de roles para agencias (DALIS)"/>
    <s v="Funcional"/>
    <s v="Medio"/>
    <d v="2026-06-01T00:00:00"/>
    <d v="1899-12-30T00:00:00"/>
    <d v="1899-12-30T00:00:00"/>
    <n v="0"/>
    <s v="Sonia B."/>
    <b v="1"/>
    <x v="1"/>
    <s v="Canales Asistidos"/>
    <n v="0"/>
    <x v="1"/>
  </r>
  <r>
    <n v="40"/>
    <x v="1"/>
    <s v="Mapa"/>
    <s v="MF-05660"/>
    <s v="Reclamos y Dalis"/>
    <s v="Negocio"/>
    <s v="Definir los roles para contact center"/>
    <s v="Configuración los roles para contact center (DALIS)"/>
    <s v="Funcional"/>
    <s v="Medio"/>
    <d v="2026-06-01T00:00:00"/>
    <d v="1899-12-30T00:00:00"/>
    <d v="1899-12-30T00:00:00"/>
    <n v="0"/>
    <s v="Sonia B."/>
    <b v="1"/>
    <x v="1"/>
    <s v="Canales Asistidos"/>
    <n v="0"/>
    <x v="1"/>
  </r>
  <r>
    <n v="41"/>
    <x v="1"/>
    <s v="Mapa"/>
    <s v="MF-05653"/>
    <s v="SPACE"/>
    <s v="ODS"/>
    <s v="Ambiente pre productivo espejo"/>
    <s v="Creación de un ambiente pre productivo espejo"/>
    <s v="Infraestructura"/>
    <s v="Alta"/>
    <d v="2026-06-05T00:00:00"/>
    <d v="1899-12-30T00:00:00"/>
    <d v="1899-12-30T00:00:00"/>
    <n v="0"/>
    <s v="Sonia B."/>
    <b v="1"/>
    <x v="1"/>
    <s v="Canales Asistidos"/>
    <n v="0"/>
    <x v="1"/>
  </r>
  <r>
    <n v="42"/>
    <x v="1"/>
    <s v="Mapa"/>
    <s v="MF-05652"/>
    <s v="Reclamos y Dalis"/>
    <s v="Data"/>
    <s v="Explotacion de datos"/>
    <s v="Disponibilizar informacion historica de Dalis en datalake."/>
    <s v="Técnica"/>
    <s v="Alta"/>
    <d v="2026-06-30T00:00:00"/>
    <d v="1899-12-30T00:00:00"/>
    <d v="2026-06-30T00:00:00"/>
    <n v="0"/>
    <s v="Jean Paul Astonitas"/>
    <b v="1"/>
    <x v="1"/>
    <s v="Canales Asistidos"/>
    <n v="0"/>
    <x v="1"/>
  </r>
  <r>
    <n v="43"/>
    <x v="1"/>
    <s v="Mapa"/>
    <s v="MF-05650"/>
    <s v="Reclamos y Dalis"/>
    <s v="Web Institucional"/>
    <s v="Integración &amp; Conectividad"/>
    <s v="Se dejará la información en el bucket S3 con los reclamos generados desde la Web Institucional, y esta viajará en un proceso tipo batch hacia la bandeja de preregistro del sistema de Reclamos."/>
    <s v="Técnica"/>
    <s v="Alta"/>
    <d v="2026-06-30T00:00:00"/>
    <d v="1899-12-30T00:00:00"/>
    <d v="2026-06-30T00:00:00"/>
    <n v="0"/>
    <s v="Henry J."/>
    <b v="1"/>
    <x v="1"/>
    <s v="Canales Asistidos"/>
    <n v="0"/>
    <x v="1"/>
  </r>
  <r>
    <n v="44"/>
    <x v="1"/>
    <s v="Mapa"/>
    <s v="MF-05620"/>
    <s v="SPACE"/>
    <s v="Data"/>
    <s v="Fuente de origen de campañas"/>
    <s v="Proceso de exportación de campañas"/>
    <s v="Funcional"/>
    <s v="Medio"/>
    <d v="2026-04-24T00:00:00"/>
    <d v="1899-12-30T00:00:00"/>
    <d v="1899-12-30T00:00:00"/>
    <n v="0"/>
    <s v="Sonia B."/>
    <b v="1"/>
    <x v="1"/>
    <s v="Canales Asistidos"/>
    <n v="0"/>
    <x v="0"/>
  </r>
  <r>
    <n v="45"/>
    <x v="1"/>
    <s v="Mapa"/>
    <s v="MF-05620"/>
    <s v="SPACE"/>
    <s v="Bantotal"/>
    <s v="Fuente de origen de campañas"/>
    <s v="Proceso de exportación de campañas"/>
    <s v="Funcional"/>
    <s v="Medio"/>
    <d v="2026-04-24T00:00:00"/>
    <d v="1899-12-30T00:00:00"/>
    <d v="1899-12-30T00:00:00"/>
    <n v="0"/>
    <s v="Sonia B."/>
    <b v="1"/>
    <x v="1"/>
    <s v="Canales Asistidos"/>
    <n v="0"/>
    <x v="0"/>
  </r>
  <r>
    <n v="46"/>
    <x v="1"/>
    <s v="Mapa"/>
    <s v="MF-05500"/>
    <s v="Cyberfinancial"/>
    <s v="Cards &amp; Payments"/>
    <s v="Actualización de pagos en Bantotal "/>
    <s v="Actualización de pagos en bantotal de TC"/>
    <s v="Técnica"/>
    <s v="Alta"/>
    <d v="2026-07-01T00:00:00"/>
    <d v="1899-12-30T00:00:00"/>
    <s v="TBD"/>
    <n v="0"/>
    <s v="Sonia B."/>
    <b v="1"/>
    <x v="2"/>
    <s v="Canales Asistidos"/>
    <n v="0"/>
    <x v="1"/>
  </r>
  <r>
    <n v="47"/>
    <x v="1"/>
    <s v="Mapa"/>
    <s v="MF-05500"/>
    <s v="Cyberfinancial"/>
    <s v="Bantotal"/>
    <s v="Actualización de pagos en Bantotal "/>
    <s v="Actualización de pagos en bantotal de TD"/>
    <s v="Técnica"/>
    <s v="Alta"/>
    <d v="2026-07-01T00:00:00"/>
    <d v="1899-12-30T00:00:00"/>
    <s v="TBD"/>
    <n v="0"/>
    <s v="Sonia B."/>
    <b v="1"/>
    <x v="2"/>
    <s v="Canales Asistidos"/>
    <n v="0"/>
    <x v="1"/>
  </r>
  <r>
    <n v="48"/>
    <x v="1"/>
    <s v="Mapa"/>
    <s v="MF-05480"/>
    <s v="SPACE"/>
    <s v="Data"/>
    <s v="Fuente de origen de campañas"/>
    <s v="Proceso de exportación de campañas"/>
    <s v="Funcional"/>
    <s v="Medio"/>
    <d v="2026-04-24T00:00:00"/>
    <d v="1899-12-30T00:00:00"/>
    <d v="1899-12-30T00:00:00"/>
    <n v="0"/>
    <s v="Sonia B."/>
    <b v="1"/>
    <x v="1"/>
    <s v="Canales Asistidos"/>
    <n v="0"/>
    <x v="0"/>
  </r>
  <r>
    <n v="49"/>
    <x v="1"/>
    <s v="Mapa"/>
    <s v="MF-05480"/>
    <s v="SPACE"/>
    <s v="Bantotal"/>
    <s v="Fuente de origen de campañas"/>
    <s v="Proceso de exportación de campañas"/>
    <s v="Funcional"/>
    <s v="Medio"/>
    <d v="2026-04-24T00:00:00"/>
    <d v="1899-12-30T00:00:00"/>
    <d v="1899-12-30T00:00:00"/>
    <n v="0"/>
    <s v="Sonia B."/>
    <b v="1"/>
    <x v="1"/>
    <s v="Canales Asistidos"/>
    <n v="0"/>
    <x v="0"/>
  </r>
  <r>
    <n v="50"/>
    <x v="1"/>
    <s v="Mapa"/>
    <s v="MF-05400"/>
    <s v="SPACE"/>
    <s v="Data"/>
    <s v="Fuente de origen de campañas"/>
    <s v="Proceso de exportación de campañas"/>
    <s v="Funcional"/>
    <s v="Medio"/>
    <d v="2026-04-24T00:00:00"/>
    <d v="1899-12-30T00:00:00"/>
    <d v="1899-12-30T00:00:00"/>
    <n v="0"/>
    <s v="Sonia B."/>
    <b v="1"/>
    <x v="1"/>
    <s v="Canales Asistidos"/>
    <n v="0"/>
    <x v="0"/>
  </r>
  <r>
    <n v="51"/>
    <x v="1"/>
    <s v="Mapa"/>
    <s v="MF-05400"/>
    <s v="SPACE"/>
    <s v="Bantotal"/>
    <s v="Fuente de origen de campañas"/>
    <s v="Proceso de exportación de campañas"/>
    <s v="Funcional"/>
    <s v="Medio"/>
    <d v="2026-04-24T00:00:00"/>
    <d v="1899-12-30T00:00:00"/>
    <d v="1899-12-30T00:00:00"/>
    <n v="0"/>
    <s v="Sonia B."/>
    <b v="1"/>
    <x v="1"/>
    <s v="Canales Asistidos"/>
    <n v="0"/>
    <x v="0"/>
  </r>
  <r>
    <n v="52"/>
    <x v="1"/>
    <s v="Mapa"/>
    <s v="MF-05390"/>
    <s v="SPACE"/>
    <s v="Data"/>
    <s v="Fuente de origen de prospectos"/>
    <s v="Proceso de exportación de prospectos"/>
    <s v="Funcional"/>
    <s v="Medio"/>
    <d v="2026-04-24T00:00:00"/>
    <d v="1899-12-30T00:00:00"/>
    <d v="1899-12-30T00:00:00"/>
    <n v="0"/>
    <s v="Sonia B."/>
    <b v="1"/>
    <x v="1"/>
    <s v="Canales Asistidos"/>
    <n v="0"/>
    <x v="0"/>
  </r>
  <r>
    <n v="53"/>
    <x v="1"/>
    <s v="Mapa"/>
    <s v="MF-05380"/>
    <s v="SPACE"/>
    <s v="Bantotal"/>
    <s v="Fuente de origen de clientes desde BT"/>
    <s v="Proceso de exportación de clientes desde BT"/>
    <s v="Funcional"/>
    <s v="Medio"/>
    <d v="2026-04-24T00:00:00"/>
    <d v="1899-12-30T00:00:00"/>
    <d v="1899-12-30T00:00:00"/>
    <n v="0"/>
    <s v="Sonia B."/>
    <b v="1"/>
    <x v="1"/>
    <s v="Canales Asistidos"/>
    <n v="0"/>
    <x v="0"/>
  </r>
  <r>
    <n v="54"/>
    <x v="1"/>
    <s v="Mapa"/>
    <s v="MF-05380"/>
    <s v="SPACE"/>
    <n v="0"/>
    <s v="Fuente de origen de no clientes"/>
    <s v="Proceso de exportación de NO CLIENTES desde XXXXX"/>
    <s v="Funcional"/>
    <s v="Medio"/>
    <d v="2026-04-24T00:00:00"/>
    <d v="1899-12-30T00:00:00"/>
    <d v="1899-12-30T00:00:00"/>
    <n v="0"/>
    <s v="Sonia B."/>
    <b v="1"/>
    <x v="1"/>
    <s v="Canales Asistidos"/>
    <n v="0"/>
    <x v="0"/>
  </r>
  <r>
    <n v="55"/>
    <x v="1"/>
    <s v="Mapa"/>
    <s v="MF-05350"/>
    <s v="SPACE"/>
    <s v="Cards &amp; Payments"/>
    <s v="Definicion de campos para apis"/>
    <s v="Confirmación de estados de las tarjetas"/>
    <s v="Técnica"/>
    <s v="Medio"/>
    <d v="2026-06-03T00:00:00"/>
    <d v="1899-12-30T00:00:00"/>
    <d v="1899-12-30T00:00:00"/>
    <n v="0"/>
    <s v="Sonia B."/>
    <b v="1"/>
    <x v="1"/>
    <s v="Canales Asistidos"/>
    <n v="0"/>
    <x v="1"/>
  </r>
  <r>
    <n v="56"/>
    <x v="1"/>
    <s v="Mapa"/>
    <s v="MF-05350"/>
    <s v="SPACE"/>
    <s v="Negocio"/>
    <s v="Definicion de estados y situaciones de Tarjeta de débito"/>
    <s v="Definición de estados de tarjeta de débito y motivos de bloqueo"/>
    <s v="Técnica"/>
    <s v="Medio"/>
    <d v="2026-06-03T00:00:00"/>
    <d v="1899-12-30T00:00:00"/>
    <d v="1899-12-30T00:00:00"/>
    <n v="0"/>
    <s v="Sonia B."/>
    <b v="1"/>
    <x v="1"/>
    <s v="Canales Asistidos"/>
    <n v="0"/>
    <x v="1"/>
  </r>
  <r>
    <n v="57"/>
    <x v="1"/>
    <s v="Mapa"/>
    <s v="MF-05340"/>
    <s v="SPACE"/>
    <s v="Bantotal"/>
    <s v="Mapeo de nuevos campos en APIs"/>
    <s v="Agregar el campo estado de movimientos para tarjetas de débito"/>
    <s v="Técnica"/>
    <s v="Medio"/>
    <d v="2026-06-03T00:00:00"/>
    <d v="1899-12-30T00:00:00"/>
    <d v="1899-12-30T00:00:00"/>
    <n v="0"/>
    <s v="Sonia B."/>
    <b v="1"/>
    <x v="1"/>
    <s v="Canales Asistidos"/>
    <n v="0"/>
    <x v="1"/>
  </r>
  <r>
    <n v="58"/>
    <x v="1"/>
    <s v="Mapa"/>
    <s v="MF-05340"/>
    <s v="SPACE"/>
    <s v="Cards &amp; Payments"/>
    <s v="Definicion de campos para apis"/>
    <s v="Confirmación de estados de las tarjetas"/>
    <s v="Técnica"/>
    <s v="Medio"/>
    <d v="2026-06-03T00:00:00"/>
    <d v="1899-12-30T00:00:00"/>
    <d v="1899-12-30T00:00:00"/>
    <n v="0"/>
    <s v="Sonia B."/>
    <b v="1"/>
    <x v="1"/>
    <s v="Canales Asistidos"/>
    <n v="0"/>
    <x v="1"/>
  </r>
  <r>
    <n v="59"/>
    <x v="1"/>
    <s v="Mapa"/>
    <s v="MF-05340"/>
    <s v="SPACE"/>
    <s v="Integración ODS"/>
    <s v="Apis"/>
    <s v="Desarrollo de 8 Apis por parte de ODS (IVR)"/>
    <s v="Técnica"/>
    <s v="Medio"/>
    <d v="2026-03-31T00:00:00"/>
    <d v="2026-04-07T00:00:00"/>
    <d v="1899-12-30T00:00:00"/>
    <n v="0"/>
    <s v="Sonia B."/>
    <b v="1"/>
    <x v="3"/>
    <s v="Canales Asistidos"/>
    <n v="0"/>
    <x v="0"/>
  </r>
  <r>
    <n v="60"/>
    <x v="1"/>
    <s v="Mapa"/>
    <s v="MF-05340"/>
    <s v="SPACE"/>
    <s v="Negocio"/>
    <s v="Definicion de estados y situaciones de Tarjeta de débito"/>
    <s v="Definición de estados de tarjeta de débito y motivos de bloqueo"/>
    <s v="Técnica"/>
    <s v="Medio"/>
    <d v="2026-06-03T00:00:00"/>
    <d v="1899-12-30T00:00:00"/>
    <d v="1899-12-30T00:00:00"/>
    <n v="0"/>
    <s v="Sonia B."/>
    <b v="1"/>
    <x v="1"/>
    <s v="Canales Asistidos"/>
    <n v="0"/>
    <x v="1"/>
  </r>
  <r>
    <n v="61"/>
    <x v="1"/>
    <s v="Mapa"/>
    <s v="MF-05340"/>
    <s v="SPACE"/>
    <s v="Bantotal"/>
    <s v="Fuente de origen de la Base de fraudes"/>
    <s v="Confirmar con BT el origen de la base de fraudes para la integración con APIs"/>
    <s v="Técnica"/>
    <s v="Medio"/>
    <d v="2026-04-15T00:00:00"/>
    <d v="1899-12-30T00:00:00"/>
    <d v="1899-12-30T00:00:00"/>
    <n v="0"/>
    <s v="Sonia B."/>
    <b v="1"/>
    <x v="1"/>
    <s v="Canales Asistidos"/>
    <n v="0"/>
    <x v="0"/>
  </r>
  <r>
    <n v="62"/>
    <x v="1"/>
    <s v="Mapa"/>
    <s v="MF-05340"/>
    <s v="SPACE"/>
    <s v="Bantotal"/>
    <s v="Fuente de origen para obtener la lista de países restringidos o prohibidos"/>
    <s v="Confirmar con BT el origen de la base de países restringidos o prohibidos"/>
    <s v="Técnica"/>
    <s v="Medio"/>
    <d v="2026-04-15T00:00:00"/>
    <d v="1899-12-30T00:00:00"/>
    <d v="1899-12-30T00:00:00"/>
    <n v="0"/>
    <s v="Sonia B."/>
    <b v="1"/>
    <x v="1"/>
    <s v="Canales Asistidos"/>
    <n v="0"/>
    <x v="0"/>
  </r>
  <r>
    <n v="63"/>
    <x v="1"/>
    <s v="Mapa"/>
    <s v="MF-04830"/>
    <s v="Reclamos y Dalis"/>
    <s v="Infraestructura"/>
    <s v="Habilitacion de accesos"/>
    <s v="Habilitacion de usuarios de desarrollo AWS DATA"/>
    <s v="Técnica"/>
    <s v="Medio"/>
    <d v="2026-03-31T00:00:00"/>
    <d v="1899-12-30T00:00:00"/>
    <d v="2026-03-31T00:00:00"/>
    <n v="0"/>
    <s v="Sonia B."/>
    <b v="1"/>
    <x v="0"/>
    <s v="Canales Asistidos"/>
    <n v="0"/>
    <x v="0"/>
  </r>
  <r>
    <n v="64"/>
    <x v="1"/>
    <s v="Mapa"/>
    <s v="MF-04830"/>
    <s v="Reclamos y Dalis"/>
    <s v="Data"/>
    <s v="Explotacion de datos"/>
    <s v="Disponibilizar informacion historica de reclamos en datalake."/>
    <s v="Técnica"/>
    <s v="Alta"/>
    <d v="2026-06-30T00:00:00"/>
    <d v="1899-12-30T00:00:00"/>
    <d v="2026-06-30T00:00:00"/>
    <n v="0"/>
    <s v="Jean Paul Astonitas"/>
    <b v="1"/>
    <x v="1"/>
    <s v="Canales Asistidos"/>
    <n v="0"/>
    <x v="1"/>
  </r>
  <r>
    <n v="65"/>
    <x v="1"/>
    <s v="Mapa"/>
    <s v="MF-04560"/>
    <s v="SPACE"/>
    <s v="Data"/>
    <s v="Reportes"/>
    <s v="Generación de reportes de usuarios con información retornada de Space"/>
    <s v="Técnica"/>
    <s v="Medio"/>
    <d v="2026-06-26T00:00:00"/>
    <d v="1899-12-30T00:00:00"/>
    <d v="1899-12-30T00:00:00"/>
    <n v="0"/>
    <s v="Sonia B."/>
    <b v="1"/>
    <x v="1"/>
    <s v="Canales Asistidos"/>
    <n v="0"/>
    <x v="1"/>
  </r>
  <r>
    <n v="66"/>
    <x v="1"/>
    <s v="Mapa"/>
    <s v="MF-04510"/>
    <s v="Cyberfinancial"/>
    <s v="Data"/>
    <s v="Migracion"/>
    <s v="Migracion de Datos (One shot) (UAT)"/>
    <s v="Técnica"/>
    <s v="Alta"/>
    <d v="2026-07-03T00:00:00"/>
    <d v="1899-12-30T00:00:00"/>
    <s v="TBD"/>
    <n v="0"/>
    <s v="Sonia B."/>
    <b v="1"/>
    <x v="2"/>
    <s v="Canales Asistidos"/>
    <n v="0"/>
    <x v="1"/>
  </r>
  <r>
    <n v="67"/>
    <x v="1"/>
    <s v="Mapa"/>
    <s v="MF-04510"/>
    <s v="Cyberfinancial"/>
    <s v="Infraestructura"/>
    <s v="Control M"/>
    <s v="Control M: transferencia de archivos"/>
    <s v="Técnica"/>
    <s v="Medio"/>
    <d v="2026-04-15T00:00:00"/>
    <d v="1899-12-30T00:00:00"/>
    <d v="1899-12-30T00:00:00"/>
    <n v="0"/>
    <s v="Sonia B."/>
    <b v="1"/>
    <x v="1"/>
    <s v="Canales Asistidos"/>
    <n v="0"/>
    <x v="0"/>
  </r>
  <r>
    <n v="68"/>
    <x v="1"/>
    <s v="Mapa"/>
    <s v="MF-04510"/>
    <s v="Cyberfinancial"/>
    <s v="Infraestructura"/>
    <s v="Habilitacion de accesos"/>
    <s v="Habilitacion de usuarios de desarrollo AWS DATA"/>
    <s v="Técnica"/>
    <s v="Medio"/>
    <d v="2026-03-31T00:00:00"/>
    <d v="1899-12-30T00:00:00"/>
    <d v="1899-12-30T00:00:00"/>
    <n v="0"/>
    <s v="Sonia B."/>
    <b v="1"/>
    <x v="1"/>
    <s v="Canales Asistidos"/>
    <n v="0"/>
    <x v="0"/>
  </r>
  <r>
    <n v="69"/>
    <x v="1"/>
    <s v="Mapa"/>
    <s v="MF-04495"/>
    <s v="SPACE"/>
    <s v="Bantotal"/>
    <s v="Definición de carga de datos"/>
    <s v="Definir fuente origen para carga de campañas "/>
    <s v="Técnica"/>
    <s v="Medio"/>
    <d v="2026-03-31T00:00:00"/>
    <d v="2026-04-07T00:00:00"/>
    <d v="1899-12-30T00:00:00"/>
    <n v="0"/>
    <s v="Sonia B."/>
    <b v="1"/>
    <x v="3"/>
    <s v="Canales Asistidos"/>
    <n v="0"/>
    <x v="0"/>
  </r>
  <r>
    <n v="70"/>
    <x v="1"/>
    <s v="Mapa"/>
    <s v="MF-04495"/>
    <s v="SPACE"/>
    <s v="Bantotal"/>
    <s v="Confirmacion de información"/>
    <s v="Confirmar donde residirán los No clientes (Personas que NO son clientes del Banco) "/>
    <s v="Técnica"/>
    <s v="Medio"/>
    <d v="2026-03-31T00:00:00"/>
    <d v="1899-12-30T00:00:00"/>
    <d v="1899-12-30T00:00:00"/>
    <n v="0"/>
    <s v="Sonia B."/>
    <b v="1"/>
    <x v="0"/>
    <s v="Canales Asistidos"/>
    <n v="0"/>
    <x v="0"/>
  </r>
  <r>
    <n v="71"/>
    <x v="1"/>
    <s v="Mapa"/>
    <s v="MF-04495"/>
    <s v="SPACE"/>
    <s v="Bantotal"/>
    <s v="Configuracion de estructura comercial"/>
    <s v="Estructura Comercial de Agencias y CC "/>
    <s v="Técnica"/>
    <s v="Medio"/>
    <d v="2026-04-10T00:00:00"/>
    <d v="1899-12-30T00:00:00"/>
    <d v="1899-12-30T00:00:00"/>
    <n v="0"/>
    <s v="Sonia B."/>
    <b v="1"/>
    <x v="1"/>
    <s v="Canales Asistidos"/>
    <n v="0"/>
    <x v="0"/>
  </r>
  <r>
    <n v="72"/>
    <x v="1"/>
    <s v="Mapa"/>
    <s v="MF-04480"/>
    <s v="SPACE"/>
    <s v="Cards &amp; Payments"/>
    <s v="Confirmar funcionalidades"/>
    <s v="Confirmar funcionalidades en las herramientas Vision+ e IG, entre otras."/>
    <s v="Técnica"/>
    <s v="Medio"/>
    <d v="2026-04-10T00:00:00"/>
    <d v="1899-12-30T00:00:00"/>
    <d v="1899-12-30T00:00:00"/>
    <n v="0"/>
    <s v="Sonia B."/>
    <b v="1"/>
    <x v="1"/>
    <s v="Canales Asistidos"/>
    <n v="0"/>
    <x v="0"/>
  </r>
  <r>
    <n v="73"/>
    <x v="1"/>
    <s v="Mapa"/>
    <s v="MF-04480"/>
    <s v="SPACE"/>
    <s v="Cyberfinancial"/>
    <s v="Integracion Cyberfinancial"/>
    <s v="Integración con cyberfinancial"/>
    <s v="Técnica"/>
    <s v="Medio"/>
    <d v="2026-03-31T00:00:00"/>
    <d v="1899-12-30T00:00:00"/>
    <d v="1899-12-30T00:00:00"/>
    <n v="0"/>
    <s v="Sonia B."/>
    <b v="1"/>
    <x v="3"/>
    <s v="Canales Asistidos"/>
    <n v="0"/>
    <x v="0"/>
  </r>
  <r>
    <n v="74"/>
    <x v="1"/>
    <s v="Mapa"/>
    <s v="MF-04480"/>
    <s v="SPACE"/>
    <s v="DMS"/>
    <s v="Confirmacion de funcionalidades "/>
    <s v="Confirmacion de funcionalidades actuales de DMS y roles para on demand"/>
    <s v="Técnica"/>
    <s v="Medio"/>
    <d v="2026-03-27T00:00:00"/>
    <d v="1899-12-30T00:00:00"/>
    <d v="1899-12-30T00:00:00"/>
    <n v="0"/>
    <s v="Sonia B."/>
    <b v="1"/>
    <x v="1"/>
    <s v="Canales Asistidos"/>
    <n v="0"/>
    <x v="0"/>
  </r>
  <r>
    <n v="75"/>
    <x v="1"/>
    <s v="Mapa"/>
    <s v="MF-04480"/>
    <s v="SPACE"/>
    <s v="Front consulta Documentos"/>
    <s v="Integración web documentos"/>
    <s v="Integración con aplicación de consulta de estados de cuenta"/>
    <s v="Técnica"/>
    <s v="Alta"/>
    <d v="2026-07-24T00:00:00"/>
    <d v="1899-12-30T00:00:00"/>
    <d v="1899-12-30T00:00:00"/>
    <n v="0"/>
    <s v="Sonia B."/>
    <b v="1"/>
    <x v="1"/>
    <s v="Canales Asistidos"/>
    <n v="0"/>
    <x v="1"/>
  </r>
  <r>
    <n v="76"/>
    <x v="1"/>
    <s v="Mapa"/>
    <s v="MF-04380"/>
    <s v="SPACE"/>
    <s v="Reclamos y Dalis"/>
    <s v="Integración quejas y reclamos"/>
    <s v="Integración con aplicación de quejas y reclamos"/>
    <s v="Técnica"/>
    <s v="Alta"/>
    <d v="2026-04-10T00:00:00"/>
    <d v="1899-12-30T00:00:00"/>
    <d v="1899-12-30T00:00:00"/>
    <n v="0"/>
    <s v="Sonia B."/>
    <b v="1"/>
    <x v="1"/>
    <s v="Canales Asistidos"/>
    <n v="0"/>
    <x v="0"/>
  </r>
  <r>
    <n v="77"/>
    <x v="1"/>
    <s v="Mapa"/>
    <s v="MF-04380"/>
    <s v="SPACE"/>
    <s v="Infraestructura"/>
    <s v="Conectividad"/>
    <s v="Central Telefonica"/>
    <s v="Técnica"/>
    <s v="Alta"/>
    <d v="2026-06-05T00:00:00"/>
    <d v="1899-12-30T00:00:00"/>
    <d v="1899-12-30T00:00:00"/>
    <n v="0"/>
    <s v="Sonia B."/>
    <b v="1"/>
    <x v="1"/>
    <s v="Canales Asistidos"/>
    <n v="0"/>
    <x v="1"/>
  </r>
  <r>
    <n v="78"/>
    <x v="1"/>
    <s v="Mapa"/>
    <s v="MF-04350"/>
    <s v="SPACE"/>
    <s v="Infraestructura"/>
    <s v="Conectividad"/>
    <s v="Central Telefonica"/>
    <s v="Técnica"/>
    <s v="Alta"/>
    <d v="2026-06-05T00:00:00"/>
    <d v="1899-12-30T00:00:00"/>
    <d v="1899-12-30T00:00:00"/>
    <n v="0"/>
    <s v="Sonia B."/>
    <b v="1"/>
    <x v="1"/>
    <s v="Canales Asistidos"/>
    <n v="0"/>
    <x v="1"/>
  </r>
  <r>
    <n v="79"/>
    <x v="1"/>
    <s v="Mapa"/>
    <s v="MF-04260"/>
    <s v="SPACE"/>
    <s v="Infraestructura"/>
    <s v="Conectividad"/>
    <s v="Central Telefonica"/>
    <s v="Técnica"/>
    <s v="Alta"/>
    <d v="2026-06-05T00:00:00"/>
    <d v="1899-12-30T00:00:00"/>
    <d v="1899-12-30T00:00:00"/>
    <n v="0"/>
    <s v="Sonia B."/>
    <b v="1"/>
    <x v="1"/>
    <s v="Canales Asistidos"/>
    <n v="0"/>
    <x v="1"/>
  </r>
  <r>
    <n v="80"/>
    <x v="1"/>
    <s v="Mapa"/>
    <s v="MF-04250"/>
    <s v="SPACE"/>
    <s v="Mesa de concesiones"/>
    <s v="Conexión a RENIEC"/>
    <s v="Link de ingreso a Reniec desde SPACE"/>
    <s v="Técnica"/>
    <s v="Medio"/>
    <d v="2026-07-24T00:00:00"/>
    <d v="1899-12-30T00:00:00"/>
    <d v="1899-12-30T00:00:00"/>
    <n v="0"/>
    <s v="Sonia B."/>
    <b v="1"/>
    <x v="1"/>
    <s v="Canales Asistidos"/>
    <n v="0"/>
    <x v="1"/>
  </r>
  <r>
    <n v="81"/>
    <x v="1"/>
    <s v="Mapa"/>
    <s v="MF-04230"/>
    <s v="SPACE"/>
    <s v="Infraestructura"/>
    <s v="Dispositivo biometrico"/>
    <s v="Disponibilidad del dispositivo biometrico"/>
    <s v="Infraestructura"/>
    <s v="Medio"/>
    <d v="2026-06-05T00:00:00"/>
    <d v="1899-12-30T00:00:00"/>
    <d v="1899-12-30T00:00:00"/>
    <n v="0"/>
    <s v="Sonia B."/>
    <b v="1"/>
    <x v="1"/>
    <s v="Canales Asistidos"/>
    <n v="0"/>
    <x v="1"/>
  </r>
  <r>
    <n v="82"/>
    <x v="1"/>
    <s v="Mapa"/>
    <s v="MF-04230"/>
    <s v="SPACE"/>
    <s v="Infraestructura"/>
    <s v="Dispositivo biometrico"/>
    <s v="Habilitación de Equipo con Biomatch Client"/>
    <s v="Infraestructura"/>
    <s v="Medio"/>
    <d v="2026-06-05T00:00:00"/>
    <d v="1899-12-30T00:00:00"/>
    <d v="1899-12-30T00:00:00"/>
    <n v="0"/>
    <s v="Sonia B."/>
    <b v="1"/>
    <x v="1"/>
    <s v="Canales Asistidos"/>
    <n v="0"/>
    <x v="1"/>
  </r>
  <r>
    <n v="83"/>
    <x v="1"/>
    <s v="Mapa"/>
    <s v="MF-04230"/>
    <s v="SPACE"/>
    <s v="Zytrust"/>
    <s v="Integracion"/>
    <s v="Autenticación/Identificación de cliente con huellero "/>
    <s v="Técnica"/>
    <s v="Medio"/>
    <d v="2026-04-06T00:00:00"/>
    <d v="1899-12-30T00:00:00"/>
    <d v="1899-12-30T00:00:00"/>
    <n v="0"/>
    <s v="Sonia B."/>
    <b v="1"/>
    <x v="1"/>
    <s v="Canales Asistidos"/>
    <n v="0"/>
    <x v="0"/>
  </r>
  <r>
    <n v="84"/>
    <x v="1"/>
    <s v="Mapa"/>
    <s v="MF-04200"/>
    <s v="SPACE"/>
    <s v="Prosegur"/>
    <s v="Link de ingreso a web PROSEGUR desde Space"/>
    <s v="Integración con aplicación web de Prosegur"/>
    <s v="Técnica"/>
    <s v="Alta"/>
    <d v="2026-07-24T00:00:00"/>
    <d v="1899-12-30T00:00:00"/>
    <d v="1899-12-30T00:00:00"/>
    <n v="0"/>
    <s v="Sonia B."/>
    <b v="1"/>
    <x v="1"/>
    <s v="Canales Asistidos"/>
    <n v="0"/>
    <x v="1"/>
  </r>
  <r>
    <n v="85"/>
    <x v="1"/>
    <s v="Mapa"/>
    <s v="MF-04200"/>
    <s v="SPACE"/>
    <s v="Enotria"/>
    <s v="Link de ingreso a Web Enotria desde Space"/>
    <s v="Integración con aplicación web de Enotria"/>
    <s v="Técnica"/>
    <s v="Alta"/>
    <d v="2026-07-24T00:00:00"/>
    <d v="1899-12-30T00:00:00"/>
    <d v="1899-12-30T00:00:00"/>
    <n v="0"/>
    <s v="Sonia B."/>
    <b v="1"/>
    <x v="1"/>
    <s v="Canales Asistidos"/>
    <n v="0"/>
    <x v="1"/>
  </r>
  <r>
    <n v="86"/>
    <x v="1"/>
    <s v="Mapa"/>
    <s v="MF-04180"/>
    <s v="SPACE"/>
    <s v="Infraestructura"/>
    <s v="Conectividad"/>
    <s v="Central Telefonica"/>
    <s v="Técnica"/>
    <s v="Alta"/>
    <d v="2026-04-30T00:00:00"/>
    <d v="1899-12-30T00:00:00"/>
    <d v="1899-12-30T00:00:00"/>
    <n v="0"/>
    <s v="Sonia B."/>
    <b v="1"/>
    <x v="1"/>
    <s v="Canales Asistidos"/>
    <n v="0"/>
    <x v="0"/>
  </r>
  <r>
    <n v="87"/>
    <x v="1"/>
    <s v="Mapa"/>
    <s v="MF-04160"/>
    <s v="SPACE"/>
    <s v="Reclamos y Dalis"/>
    <s v="Integración web quejas y reclamos"/>
    <s v="Integración con aplicación de quejas y reclamos"/>
    <s v="Técnica"/>
    <s v="Alta"/>
    <d v="2026-07-24T00:00:00"/>
    <d v="1899-12-30T00:00:00"/>
    <d v="1899-12-30T00:00:00"/>
    <n v="0"/>
    <s v="Sonia B."/>
    <b v="1"/>
    <x v="1"/>
    <s v="Canales Asistidos"/>
    <n v="0"/>
    <x v="1"/>
  </r>
  <r>
    <n v="88"/>
    <x v="1"/>
    <s v="Mapa"/>
    <s v="MF-04110"/>
    <s v="SPACE"/>
    <s v="Digital"/>
    <s v="Integración web asistidos"/>
    <s v="Integración de la web asistidos "/>
    <s v="Técnica"/>
    <s v="Alta"/>
    <d v="2026-06-26T00:00:00"/>
    <d v="1899-12-30T00:00:00"/>
    <d v="1899-12-30T00:00:00"/>
    <n v="0"/>
    <s v="Sonia B."/>
    <b v="1"/>
    <x v="1"/>
    <n v="0"/>
    <n v="0"/>
    <x v="1"/>
  </r>
  <r>
    <n v="89"/>
    <x v="1"/>
    <s v="Mapa"/>
    <s v="MF-04010"/>
    <s v="Cyberfinancial"/>
    <s v="Negocio"/>
    <s v="Definicion de Historias PI3"/>
    <s v="Cerrar con las historias de usaurio asocidas al PI3"/>
    <s v="Funcional"/>
    <s v="Medio"/>
    <d v="2026-06-12T00:00:00"/>
    <d v="1899-12-30T00:00:00"/>
    <s v="TBD"/>
    <n v="0"/>
    <s v="Sonia B."/>
    <b v="1"/>
    <x v="1"/>
    <s v="Canales Asistidos"/>
    <n v="0"/>
    <x v="1"/>
  </r>
  <r>
    <n v="90"/>
    <x v="1"/>
    <s v="Mapa"/>
    <s v="MF-03990"/>
    <s v="Cyberfinancial"/>
    <s v="Negocio"/>
    <s v="Definicion de Historias PI2"/>
    <s v="Cerrar con las historias de usuario asocidas al PI2"/>
    <s v="Funcional"/>
    <s v="Medio"/>
    <d v="2026-03-23T00:00:00"/>
    <d v="2026-04-10T00:00:00"/>
    <s v="TBD"/>
    <n v="0"/>
    <s v="Sonia B."/>
    <b v="1"/>
    <x v="3"/>
    <s v="Canales Asistidos"/>
    <n v="0"/>
    <x v="0"/>
  </r>
  <r>
    <n v="91"/>
    <x v="1"/>
    <s v="Mapa"/>
    <s v="MF-03885"/>
    <s v="SPACE"/>
    <s v="Ciberseguridad"/>
    <s v="Integración"/>
    <s v="Validación de las Url's de las aplicaciones externas a embeber en Space"/>
    <s v="Técnica"/>
    <s v="Alta"/>
    <d v="2026-04-10T00:00:00"/>
    <d v="1899-12-30T00:00:00"/>
    <d v="1899-12-30T00:00:00"/>
    <n v="0"/>
    <s v="Sonia B."/>
    <b v="1"/>
    <x v="1"/>
    <s v="Canales Asistidos"/>
    <n v="0"/>
    <x v="0"/>
  </r>
  <r>
    <n v="92"/>
    <x v="1"/>
    <s v="Mapa"/>
    <s v="MF-03880"/>
    <s v="SPACE"/>
    <s v="Ciberseguridad"/>
    <s v="Integración"/>
    <s v="Validación de las Url's de las aplicaciones externas a embeber en Space"/>
    <s v="Técnica"/>
    <s v="Alta"/>
    <d v="2026-04-10T00:00:00"/>
    <d v="1899-12-30T00:00:00"/>
    <d v="1899-12-30T00:00:00"/>
    <n v="0"/>
    <s v="Sonia B."/>
    <b v="1"/>
    <x v="1"/>
    <s v="Canales Asistidos"/>
    <n v="0"/>
    <x v="0"/>
  </r>
  <r>
    <n v="93"/>
    <x v="1"/>
    <s v="Mapa"/>
    <s v="MF-03840"/>
    <s v="SPACE"/>
    <s v="Digital"/>
    <s v="Integración web asistidos"/>
    <s v="Integración de la web asistidos "/>
    <s v="Técnica"/>
    <s v="Alta"/>
    <d v="2026-06-26T00:00:00"/>
    <d v="1899-12-30T00:00:00"/>
    <d v="1899-12-30T00:00:00"/>
    <n v="0"/>
    <s v="Sonia B."/>
    <b v="1"/>
    <x v="1"/>
    <s v="Canales Asistidos"/>
    <n v="0"/>
    <x v="1"/>
  </r>
  <r>
    <n v="94"/>
    <x v="1"/>
    <s v="Mapa"/>
    <s v="MF-03790"/>
    <s v="Cyberfinancial"/>
    <s v="Bantotal"/>
    <s v="Data de prestamos"/>
    <s v="Generacion de UDA 1 y 2 para envio informacion Préstamos (UAT)"/>
    <s v="Técnica"/>
    <s v="Alta"/>
    <d v="2026-07-01T00:00:00"/>
    <d v="1899-12-30T00:00:00"/>
    <s v="TBD"/>
    <n v="0"/>
    <s v="Sonia B."/>
    <b v="1"/>
    <x v="0"/>
    <s v="Canales Asistidos"/>
    <n v="0"/>
    <x v="1"/>
  </r>
  <r>
    <n v="95"/>
    <x v="1"/>
    <s v="Mapa"/>
    <s v="MF-03790"/>
    <s v="Cyberfinancial"/>
    <s v="Ciberseguridad"/>
    <s v="Comunicación entre DEV local y PRE ODS"/>
    <s v="Comunicacíón entre ambientes para probra el SFTP a ser utilizado en la carga diaria y One Shot"/>
    <s v="Técnica"/>
    <s v="Alta"/>
    <d v="2026-03-23T00:00:00"/>
    <d v="1899-12-30T00:00:00"/>
    <s v="TBD"/>
    <n v="0"/>
    <s v="Sonia B."/>
    <b v="1"/>
    <x v="0"/>
    <s v="Canales Asistidos"/>
    <n v="0"/>
    <x v="0"/>
  </r>
  <r>
    <n v="96"/>
    <x v="1"/>
    <s v="Mapa"/>
    <s v="MF-03780"/>
    <s v="Cyberfinancial"/>
    <s v="Bantotal"/>
    <s v="Data de prestamos"/>
    <s v="Generacion de UDA 1 y 2 para envio informacion Préstamos (UAT)"/>
    <s v="Técnica"/>
    <s v="Alta"/>
    <d v="2026-07-01T00:00:00"/>
    <d v="1899-12-30T00:00:00"/>
    <s v="TBD"/>
    <n v="0"/>
    <s v="Sonia B."/>
    <b v="1"/>
    <x v="0"/>
    <s v="Canales Asistidos"/>
    <n v="0"/>
    <x v="1"/>
  </r>
  <r>
    <n v="97"/>
    <x v="1"/>
    <s v="Mapa"/>
    <s v="MF-03780"/>
    <s v="Cyberfinancial"/>
    <s v="Cards &amp; Payments"/>
    <s v="Conciliación (TC)"/>
    <s v="Generacion de UDA 6 para envio de informacion TC (UAT)"/>
    <s v="Técnica"/>
    <s v="Alta"/>
    <d v="2026-07-01T00:00:00"/>
    <d v="1899-12-30T00:00:00"/>
    <s v="TBD"/>
    <n v="0"/>
    <s v="Sonia B."/>
    <b v="1"/>
    <x v="0"/>
    <s v="Canales Asistidos"/>
    <n v="0"/>
    <x v="1"/>
  </r>
  <r>
    <n v="98"/>
    <x v="1"/>
    <s v="Mapa"/>
    <s v="MF-03780"/>
    <s v="Cyberfinancial"/>
    <s v="Ciberseguridad"/>
    <s v="Comunicación entre DEV local y PRE ODS"/>
    <s v="Comunicacíón entre ambientes para probra el SFTP a ser utilizado en la carga diaria y One Shot"/>
    <s v="Técnica"/>
    <s v="Alta"/>
    <d v="2026-03-23T00:00:00"/>
    <d v="1899-12-30T00:00:00"/>
    <s v="TBD"/>
    <n v="0"/>
    <s v="Sonia B."/>
    <b v="1"/>
    <x v="0"/>
    <s v="Canales Asistidos"/>
    <n v="0"/>
    <x v="0"/>
  </r>
  <r>
    <n v="99"/>
    <x v="1"/>
    <s v="Mapa"/>
    <s v="MF-03790"/>
    <s v="Cyberfinancial"/>
    <s v="Data"/>
    <s v="Data de prestamos"/>
    <s v="Generacion de UDA 1 y 2 para envio informacion Préstamos (UAT)"/>
    <s v="Técnica"/>
    <s v="Alta"/>
    <d v="2026-07-01T00:00:00"/>
    <d v="1899-12-30T00:00:00"/>
    <s v="TBD"/>
    <n v="0"/>
    <s v="Sonia B."/>
    <b v="1"/>
    <x v="2"/>
    <s v="Canales Asistidos"/>
    <n v="0"/>
    <x v="1"/>
  </r>
  <r>
    <n v="100"/>
    <x v="1"/>
    <s v="Mapa"/>
    <s v="MF-03780"/>
    <s v="Cyberfinancial"/>
    <s v="Data"/>
    <s v="Data de prestamos"/>
    <s v="Generacion de UDA 1 y 2 para envio informacion Préstamos (UAT)"/>
    <s v="Técnica"/>
    <s v="Alta"/>
    <d v="2026-07-01T00:00:00"/>
    <d v="1899-12-30T00:00:00"/>
    <s v="TBD"/>
    <n v="0"/>
    <s v="Sonia B."/>
    <b v="1"/>
    <x v="2"/>
    <s v="Canales Asistidos"/>
    <n v="0"/>
    <x v="1"/>
  </r>
  <r>
    <n v="101"/>
    <x v="1"/>
    <s v="Mapa"/>
    <s v="MF-03770"/>
    <s v="Cyberfinancial"/>
    <s v="Data"/>
    <s v="Data de prestamos"/>
    <s v="Generacion de UDA 1 y 2 para envio informacion Préstamos (UAT)"/>
    <s v="Técnica"/>
    <s v="Alta"/>
    <d v="2026-07-01T00:00:00"/>
    <d v="1899-12-30T00:00:00"/>
    <s v="TBD"/>
    <n v="0"/>
    <s v="Sonia B."/>
    <b v="1"/>
    <x v="2"/>
    <s v="Canales Asistidos"/>
    <n v="0"/>
    <x v="1"/>
  </r>
  <r>
    <n v="102"/>
    <x v="1"/>
    <s v="Mapa"/>
    <s v="MF-03760"/>
    <s v="Cyberfinancial"/>
    <s v="Data"/>
    <s v="Data de prestamos"/>
    <s v="Generacion de UDA 1 y 2 para envio informacion Préstamos (UAT)"/>
    <s v="Técnica"/>
    <s v="Alta"/>
    <d v="2026-07-01T00:00:00"/>
    <d v="1899-12-30T00:00:00"/>
    <s v="TBD"/>
    <n v="0"/>
    <s v="Sonia B."/>
    <b v="1"/>
    <x v="2"/>
    <s v="Canales Asistidos"/>
    <n v="0"/>
    <x v="1"/>
  </r>
  <r>
    <n v="103"/>
    <x v="1"/>
    <s v="Mapa"/>
    <s v="MF-03750"/>
    <s v="Cyberfinancial"/>
    <s v="Data"/>
    <s v="Data de prestamos"/>
    <s v="Generacion de UDA 1 y 2 para envio informacion Préstamos (UAT)"/>
    <s v="Técnica"/>
    <s v="Alta"/>
    <d v="2026-07-01T00:00:00"/>
    <d v="1899-12-30T00:00:00"/>
    <s v="TBD"/>
    <n v="0"/>
    <s v="Sonia B."/>
    <b v="1"/>
    <x v="2"/>
    <s v="Canales Asistidos"/>
    <n v="0"/>
    <x v="1"/>
  </r>
  <r>
    <n v="104"/>
    <x v="1"/>
    <s v="Mapa"/>
    <s v="MF-03770"/>
    <s v="Cyberfinancial"/>
    <s v="Bantotal"/>
    <s v="Data de prestamos"/>
    <s v="Generacion de UDA 1 y 2 para envio informacion Préstamos (UAT)"/>
    <s v="Técnica"/>
    <s v="Alta"/>
    <d v="2026-07-01T00:00:00"/>
    <d v="1899-12-30T00:00:00"/>
    <s v="TBD"/>
    <n v="0"/>
    <s v="Sonia B."/>
    <b v="1"/>
    <x v="0"/>
    <s v="Canales Asistidos"/>
    <n v="0"/>
    <x v="1"/>
  </r>
  <r>
    <n v="105"/>
    <x v="1"/>
    <s v="Mapa"/>
    <s v="MF-03770"/>
    <s v="Cyberfinancial"/>
    <s v="Cards &amp; Payments"/>
    <s v="Conciliación (TC)"/>
    <s v="Generacion de UDA 6 para envio de informacion TC (UAT)"/>
    <s v="Técnica"/>
    <s v="Alta"/>
    <d v="2026-07-01T00:00:00"/>
    <d v="1899-12-30T00:00:00"/>
    <s v="TBD"/>
    <n v="0"/>
    <s v="Sonia B."/>
    <b v="1"/>
    <x v="0"/>
    <s v="Canales Asistidos"/>
    <n v="0"/>
    <x v="1"/>
  </r>
  <r>
    <n v="106"/>
    <x v="1"/>
    <s v="Mapa"/>
    <s v="MF-03770"/>
    <s v="Cyberfinancial"/>
    <s v="Ciberseguridad"/>
    <s v="Comunicación entre DEV local y PRE ODS"/>
    <s v="Comunicacíón entre ambientes para probra el SFTP a ser utilizado en la carga diaria y One Shot"/>
    <s v="Técnica"/>
    <s v="Alta"/>
    <d v="2026-03-23T00:00:00"/>
    <d v="1899-12-30T00:00:00"/>
    <s v="TBD"/>
    <n v="0"/>
    <s v="Sonia B."/>
    <b v="1"/>
    <x v="0"/>
    <s v="Canales Asistidos"/>
    <n v="0"/>
    <x v="0"/>
  </r>
  <r>
    <n v="107"/>
    <x v="1"/>
    <s v="Mapa"/>
    <s v="MF-03760"/>
    <s v="Cyberfinancial"/>
    <s v="Bantotal"/>
    <s v="Data de prestamos"/>
    <s v="Generacion de UDA 1 y 2 para envio informacion Préstamos (UAT)"/>
    <s v="Técnica"/>
    <s v="Alta"/>
    <d v="2026-07-01T00:00:00"/>
    <d v="1899-12-30T00:00:00"/>
    <s v="TBD"/>
    <n v="0"/>
    <s v="Sonia B."/>
    <b v="1"/>
    <x v="0"/>
    <s v="Canales Asistidos"/>
    <n v="0"/>
    <x v="1"/>
  </r>
  <r>
    <n v="108"/>
    <x v="1"/>
    <s v="Mapa"/>
    <s v="MF-03780"/>
    <s v="Cyberfinancial"/>
    <s v="Data"/>
    <s v="Conciliación (TC)"/>
    <s v="Generacion de UDA 6 para envio de informacion TC (UAT)"/>
    <s v="Técnica"/>
    <s v="Alta"/>
    <d v="2026-07-01T00:00:00"/>
    <d v="1899-12-30T00:00:00"/>
    <s v="TBD"/>
    <n v="0"/>
    <s v="Sonia B."/>
    <b v="1"/>
    <x v="2"/>
    <s v="Canales Asistidos"/>
    <n v="0"/>
    <x v="1"/>
  </r>
  <r>
    <n v="109"/>
    <x v="1"/>
    <s v="Mapa"/>
    <s v="MF-03770"/>
    <s v="Cyberfinancial"/>
    <s v="Data"/>
    <s v="Conciliación (TC)"/>
    <s v="Generacion de UDA 6 para envio de informacion TC (UAT)"/>
    <s v="Técnica"/>
    <s v="Alta"/>
    <d v="2026-07-01T00:00:00"/>
    <d v="1899-12-30T00:00:00"/>
    <s v="TBD"/>
    <n v="0"/>
    <s v="Sonia B."/>
    <b v="1"/>
    <x v="2"/>
    <s v="Canales Asistidos"/>
    <n v="0"/>
    <x v="1"/>
  </r>
  <r>
    <n v="110"/>
    <x v="1"/>
    <s v="Mapa"/>
    <s v="MF-03750"/>
    <s v="Cyberfinancial"/>
    <s v="Data"/>
    <s v="Conciliación (TC)"/>
    <s v="Generacion de UDA 6 para envio de informacion TC (UAT)"/>
    <s v="Técnica"/>
    <s v="Alta"/>
    <d v="2026-07-01T00:00:00"/>
    <d v="1899-12-30T00:00:00"/>
    <s v="TBD"/>
    <n v="0"/>
    <s v="Sonia B."/>
    <b v="1"/>
    <x v="2"/>
    <s v="Canales Asistidos"/>
    <n v="0"/>
    <x v="1"/>
  </r>
  <r>
    <n v="111"/>
    <x v="1"/>
    <s v="Mapa"/>
    <s v="MF-03750"/>
    <s v="Cyberfinancial"/>
    <s v="Cards &amp; Payments"/>
    <s v="Conciliación (TC)"/>
    <s v="Generacion de UDA 6 para envio de informacion TC (UAT)"/>
    <s v="Técnica"/>
    <s v="Alta"/>
    <d v="2026-07-01T00:00:00"/>
    <d v="1899-12-30T00:00:00"/>
    <s v="TBD"/>
    <n v="0"/>
    <s v="Sonia B."/>
    <b v="1"/>
    <x v="0"/>
    <s v="Canales Asistidos"/>
    <n v="0"/>
    <x v="1"/>
  </r>
  <r>
    <n v="112"/>
    <x v="1"/>
    <s v="Mapa"/>
    <s v="MF-03750"/>
    <s v="Cyberfinancial"/>
    <s v="Ciberseguridad"/>
    <s v="Comunicación entre DEV local y PRE ODS"/>
    <s v="Comunicacíón entre ambientes para probra el SFTP a ser utilizado en la carga diaria y One Shot"/>
    <s v="Técnica"/>
    <s v="Alta"/>
    <d v="2026-03-23T00:00:00"/>
    <d v="1899-12-30T00:00:00"/>
    <s v="TBD"/>
    <n v="0"/>
    <s v="Sonia B."/>
    <b v="1"/>
    <x v="0"/>
    <s v="Canales Asistidos"/>
    <n v="0"/>
    <x v="0"/>
  </r>
  <r>
    <n v="113"/>
    <x v="1"/>
    <s v="Mapa"/>
    <s v="MF-03750"/>
    <s v="Cyberfinancial"/>
    <s v="Modellica"/>
    <s v="Archivo LST - Estrategia de cobranzas"/>
    <s v="Disponibilizar archivo LST para estrategia cobranzas (UAT)"/>
    <s v="Técnica"/>
    <s v="Alta"/>
    <d v="2026-07-01T00:00:00"/>
    <d v="1899-12-30T00:00:00"/>
    <d v="2026-10-15T00:00:00"/>
    <n v="0"/>
    <s v="Sonia B."/>
    <b v="1"/>
    <x v="2"/>
    <s v="Canales Asistidos"/>
    <n v="0"/>
    <x v="1"/>
  </r>
  <r>
    <n v="114"/>
    <x v="1"/>
    <s v="Mapa"/>
    <s v="MF-03750"/>
    <s v="Cyberfinancial"/>
    <s v="Bantotal"/>
    <s v="Data de prestamos"/>
    <s v="Generacion de UDA 1 y 2 para envio informacion Préstamos (UAT)"/>
    <s v="Técnica"/>
    <s v="Alta"/>
    <d v="2026-07-01T00:00:00"/>
    <d v="1899-12-30T00:00:00"/>
    <s v="TBD"/>
    <n v="0"/>
    <s v="Sonia B."/>
    <b v="1"/>
    <x v="0"/>
    <s v="Canales Asistidos"/>
    <n v="0"/>
    <x v="1"/>
  </r>
  <r>
    <n v="115"/>
    <x v="1"/>
    <s v="Mapa"/>
    <s v="MF-03740"/>
    <s v="SPACE"/>
    <s v="Negocio"/>
    <s v="Definición de tipos de campañas"/>
    <s v="Configuración de campañas para agente de servicio"/>
    <s v="Funcional"/>
    <s v="Medio"/>
    <d v="2026-03-31T00:00:00"/>
    <d v="1899-12-30T00:00:00"/>
    <d v="1899-12-30T00:00:00"/>
    <n v="0"/>
    <s v="Sonia B."/>
    <b v="1"/>
    <x v="1"/>
    <s v="Canales Asistidos"/>
    <n v="0"/>
    <x v="0"/>
  </r>
  <r>
    <n v="116"/>
    <x v="1"/>
    <s v="Mapa"/>
    <s v="MF-03730"/>
    <s v="SPACE"/>
    <s v="Negocio"/>
    <s v="Definición de tipos de campañas"/>
    <s v="Configuración de campañas para agente de cobranza"/>
    <s v="Funcional"/>
    <s v="Medio"/>
    <d v="2026-03-31T00:00:00"/>
    <d v="1899-12-30T00:00:00"/>
    <d v="1899-12-30T00:00:00"/>
    <n v="0"/>
    <s v="Sonia B."/>
    <b v="1"/>
    <x v="1"/>
    <s v="Canales Asistidos"/>
    <n v="0"/>
    <x v="0"/>
  </r>
  <r>
    <n v="117"/>
    <x v="1"/>
    <s v="Mapa"/>
    <s v="MF-03450"/>
    <s v="Cyberfinancial"/>
    <s v="Modellica"/>
    <s v="Archivo LST - Estrategia de cobranzas"/>
    <s v="Disponibilizar archivo LST para estrategia cobranzas (UAT)"/>
    <s v="Técnica"/>
    <s v="Alta"/>
    <d v="2026-07-01T00:00:00"/>
    <d v="1899-12-30T00:00:00"/>
    <d v="2026-10-15T00:00:00"/>
    <n v="0"/>
    <s v="Sonia B."/>
    <b v="1"/>
    <x v="2"/>
    <s v="Canales Asistidos"/>
    <n v="0"/>
    <x v="1"/>
  </r>
  <r>
    <n v="118"/>
    <x v="1"/>
    <s v="Mapa"/>
    <s v="MF-03440"/>
    <s v="SPACE"/>
    <s v="Negocio"/>
    <s v="Definir los roles para contact center"/>
    <s v="Configuracion de Roles Genesys cloud"/>
    <s v="Funcional"/>
    <s v="Medio"/>
    <d v="2026-03-31T00:00:00"/>
    <d v="1899-12-30T00:00:00"/>
    <d v="1899-12-30T00:00:00"/>
    <n v="0"/>
    <s v="Sonia B."/>
    <b v="1"/>
    <x v="0"/>
    <s v="Canales Asistidos"/>
    <n v="0"/>
    <x v="0"/>
  </r>
  <r>
    <n v="119"/>
    <x v="1"/>
    <s v="Mapa"/>
    <s v="MF-03430"/>
    <s v="SPACE"/>
    <s v="Negocio"/>
    <s v="Definir los roles para contact center"/>
    <s v="Configuracion de Roles Contact Center"/>
    <s v="Funcional"/>
    <s v="Medio"/>
    <d v="2026-03-31T00:00:00"/>
    <d v="1899-12-30T00:00:00"/>
    <d v="1899-12-30T00:00:00"/>
    <n v="0"/>
    <s v="Sonia B."/>
    <b v="1"/>
    <x v="0"/>
    <s v="Canales Asistidos"/>
    <n v="0"/>
    <x v="0"/>
  </r>
  <r>
    <n v="120"/>
    <x v="1"/>
    <s v="Mapa"/>
    <s v="MF-03420"/>
    <s v="SPACE"/>
    <s v="Negocio"/>
    <s v="Definir los roles para agencias"/>
    <s v="Configuracion de Roles Agencias"/>
    <s v="Funcional"/>
    <s v="Medio"/>
    <d v="2026-03-31T00:00:00"/>
    <d v="1899-12-30T00:00:00"/>
    <d v="1899-12-30T00:00:00"/>
    <n v="0"/>
    <s v="Sonia B."/>
    <b v="1"/>
    <x v="0"/>
    <s v="Canales Asistidos"/>
    <n v="0"/>
    <x v="0"/>
  </r>
  <r>
    <n v="121"/>
    <x v="1"/>
    <s v="Mapa"/>
    <s v="MF-03410"/>
    <s v="SPACE"/>
    <s v="Negocio"/>
    <s v="Definición de segmentos de cliente"/>
    <s v="Confirmar los segmentos para que se derive a las colas de asesores dentro de la integración con IVR"/>
    <s v="Técnica"/>
    <s v="Medio"/>
    <d v="2026-08-07T00:00:00"/>
    <d v="1899-12-30T00:00:00"/>
    <d v="1899-12-30T00:00:00"/>
    <n v="0"/>
    <s v="Sonia B."/>
    <b v="1"/>
    <x v="1"/>
    <s v="Canales Asistidos"/>
    <n v="0"/>
    <x v="1"/>
  </r>
  <r>
    <n v="122"/>
    <x v="1"/>
    <s v="Mapa"/>
    <s v="MF-03400"/>
    <s v="SPACE"/>
    <s v="Data"/>
    <s v="Definir la información que se requiere enviar al Datalake"/>
    <s v="Configuracion de reportes Contact Center"/>
    <s v="Funcional"/>
    <s v="Medio"/>
    <d v="2026-06-26T00:00:00"/>
    <d v="1899-12-30T00:00:00"/>
    <d v="1899-12-30T00:00:00"/>
    <n v="0"/>
    <s v="Sonia B."/>
    <b v="1"/>
    <x v="1"/>
    <s v="Canales Asistidos"/>
    <n v="0"/>
    <x v="1"/>
  </r>
  <r>
    <n v="123"/>
    <x v="1"/>
    <s v="Mapa"/>
    <s v="MF-03390"/>
    <s v="SPACE"/>
    <s v="Data"/>
    <s v="Definir la información que se requiere enviar al Datalake"/>
    <s v="Configuracion de reportes Agencia"/>
    <s v="Funcional"/>
    <s v="Medio"/>
    <d v="2026-06-26T00:00:00"/>
    <d v="1899-12-30T00:00:00"/>
    <d v="1899-12-30T00:00:00"/>
    <n v="0"/>
    <s v="Sonia B."/>
    <b v="1"/>
    <x v="1"/>
    <s v="Canales Asistidos"/>
    <n v="0"/>
    <x v="1"/>
  </r>
  <r>
    <n v="124"/>
    <x v="1"/>
    <s v="Mapa"/>
    <s v="MF-03380"/>
    <s v="Reclamos y Dalis"/>
    <s v="Izipay"/>
    <s v="Integración &amp; Conectividad"/>
    <s v="Integración tipo batch para la comunicación entre IZIPAY y BANTOTAL para el sistema de reclamos y DALIs – canal Contact Center"/>
    <s v="Técnica"/>
    <s v="Alta"/>
    <d v="2026-10-30T00:00:00"/>
    <d v="1899-12-30T00:00:00"/>
    <d v="2026-10-30T00:00:00"/>
    <s v="Se Probará en Junio con Simuladores en UAT"/>
    <s v="Fredy C."/>
    <b v="1"/>
    <x v="1"/>
    <s v="Canales Asistidos"/>
    <n v="0"/>
    <x v="1"/>
  </r>
  <r>
    <n v="125"/>
    <x v="1"/>
    <s v="Mapa"/>
    <s v="MF-03330"/>
    <s v="Reclamos y Dalis"/>
    <s v="Izipay"/>
    <s v="Integración &amp; Conectividad"/>
    <s v="Integración tipo batch para la comunicación entre IZIPAY y BANTOTAL para el sistema de reclamos y DALIs – canal Agencia."/>
    <s v="Técnica"/>
    <s v="Alta"/>
    <d v="2026-10-30T00:00:00"/>
    <d v="1899-12-30T00:00:00"/>
    <d v="2026-10-30T00:00:00"/>
    <s v="Se Probará en Junio con Simuladores en UAT"/>
    <s v="Fredy C."/>
    <b v="1"/>
    <x v="1"/>
    <s v="Canales Asistidos"/>
    <n v="0"/>
    <x v="1"/>
  </r>
  <r>
    <n v="126"/>
    <x v="1"/>
    <s v="Mapa"/>
    <s v="MF-03330"/>
    <s v="Reclamos y Dalis"/>
    <s v="Infraestructura"/>
    <s v="Control M"/>
    <s v="Control M: transferencia de archivos"/>
    <s v="Técnica"/>
    <s v="Medio"/>
    <d v="2026-04-15T00:00:00"/>
    <d v="1899-12-30T00:00:00"/>
    <d v="1899-12-30T00:00:00"/>
    <n v="0"/>
    <s v="Sonia B."/>
    <b v="1"/>
    <x v="1"/>
    <s v="Canales Asistidos"/>
    <n v="0"/>
    <x v="0"/>
  </r>
  <r>
    <n v="127"/>
    <x v="1"/>
    <s v="Mapa"/>
    <s v="MF-03315"/>
    <s v="SPACE"/>
    <s v="ODS"/>
    <s v="Definición de herramienta a usar"/>
    <s v="Definir que herramienta se usara para llamadas en las agencias"/>
    <s v="Infraestructura"/>
    <s v="Alta"/>
    <d v="2026-06-05T00:00:00"/>
    <d v="1899-12-30T00:00:00"/>
    <d v="1899-12-30T00:00:00"/>
    <n v="0"/>
    <s v="Sonia B."/>
    <b v="1"/>
    <x v="1"/>
    <s v="Canales Asistidos"/>
    <n v="0"/>
    <x v="1"/>
  </r>
  <r>
    <n v="128"/>
    <x v="1"/>
    <s v="Mapa"/>
    <s v="MF-03310"/>
    <s v="SPACE"/>
    <s v="ODS"/>
    <s v="Definición de herramienta a usar"/>
    <s v="Definir que herramienta se usara para llamadas en las agencias"/>
    <s v="Infraestructura"/>
    <s v="Alta"/>
    <d v="2026-06-05T00:00:00"/>
    <d v="1899-12-30T00:00:00"/>
    <d v="1899-12-30T00:00:00"/>
    <n v="0"/>
    <s v="Sonia B."/>
    <b v="1"/>
    <x v="1"/>
    <s v="Canales Asistidos"/>
    <n v="0"/>
    <x v="1"/>
  </r>
  <r>
    <n v="129"/>
    <x v="1"/>
    <s v="Mapa"/>
    <s v="MF-03305"/>
    <s v="SPACE"/>
    <s v="Infraestructura"/>
    <s v="Conectividad"/>
    <s v="Central Telefonica"/>
    <s v="Técnica"/>
    <n v="0"/>
    <d v="2026-06-05T00:00:00"/>
    <d v="1899-12-30T00:00:00"/>
    <d v="1899-12-30T00:00:00"/>
    <n v="0"/>
    <s v="Sonia B."/>
    <b v="1"/>
    <x v="1"/>
    <s v="Canales Asistidos"/>
    <n v="0"/>
    <x v="1"/>
  </r>
  <r>
    <n v="130"/>
    <x v="1"/>
    <s v="Mapa"/>
    <s v="MF-03300"/>
    <s v="SPACE"/>
    <s v="Infraestructura"/>
    <s v="Conectividad"/>
    <s v="Central Telefonica"/>
    <s v="Técnica"/>
    <n v="0"/>
    <d v="2026-06-05T00:00:00"/>
    <d v="1899-12-30T00:00:00"/>
    <d v="1899-12-30T00:00:00"/>
    <n v="0"/>
    <s v="Sonia B."/>
    <b v="1"/>
    <x v="1"/>
    <s v="Canales Asistidos"/>
    <n v="0"/>
    <x v="1"/>
  </r>
  <r>
    <n v="131"/>
    <x v="1"/>
    <s v="Mapa"/>
    <s v="MF-00180"/>
    <s v="SPACE"/>
    <s v="Infraestructura"/>
    <s v="Habilitacion de telefonía CC"/>
    <s v="Habilitacion de telefonía para el contact center"/>
    <s v="Infraestructura"/>
    <s v="Alta"/>
    <d v="2026-06-05T00:00:00"/>
    <d v="1899-12-30T00:00:00"/>
    <d v="1899-12-30T00:00:00"/>
    <n v="0"/>
    <s v="Sonia B."/>
    <b v="1"/>
    <x v="1"/>
    <s v="Canales Asistidos"/>
    <n v="0"/>
    <x v="1"/>
  </r>
  <r>
    <n v="132"/>
    <x v="1"/>
    <s v="Mapa"/>
    <n v="0"/>
    <s v="Genesys Cloud"/>
    <n v="0"/>
    <s v="Fila 237 (Generación de data para analítica)"/>
    <s v="Contar con Datalake para almacenamiento de información"/>
    <n v="0"/>
    <n v="0"/>
    <d v="1899-12-30T00:00:00"/>
    <d v="1899-12-30T00:00:00"/>
    <d v="1899-12-30T00:00:00"/>
    <n v="0"/>
    <n v="0"/>
    <b v="1"/>
    <x v="1"/>
    <n v="0"/>
    <n v="0"/>
    <x v="1"/>
  </r>
  <r>
    <n v="133"/>
    <x v="1"/>
    <s v="Mapa"/>
    <n v="0"/>
    <s v="Genesys Cloud"/>
    <n v="0"/>
    <s v="Fila 238 (Generación de data para analítica)"/>
    <s v="Contar con Datalake para almacenamiento de información"/>
    <n v="0"/>
    <n v="0"/>
    <d v="1899-12-30T00:00:00"/>
    <d v="1899-12-30T00:00:00"/>
    <d v="1899-12-30T00:00:00"/>
    <n v="0"/>
    <n v="0"/>
    <b v="1"/>
    <x v="1"/>
    <n v="0"/>
    <n v="0"/>
    <x v="1"/>
  </r>
  <r>
    <n v="134"/>
    <x v="1"/>
    <s v="Mapa"/>
    <s v="P-95"/>
    <s v="Cyberfinancial"/>
    <s v="Negocio"/>
    <s v="Validación de formatos blancos 1, 2 y 6"/>
    <s v="Validación de formatos blancos 1, 2 y 6"/>
    <s v="Técnica"/>
    <s v="Alta"/>
    <d v="2026-04-01T00:00:00"/>
    <d v="1899-12-30T00:00:00"/>
    <d v="2026-04-01T00:00:00"/>
    <n v="0"/>
    <s v="Sonia B."/>
    <b v="1"/>
    <x v="2"/>
    <s v="Canales Asistidos"/>
    <n v="0"/>
    <x v="0"/>
  </r>
  <r>
    <n v="135"/>
    <x v="1"/>
    <s v="Mapa"/>
    <s v="P-95"/>
    <s v="Cyberfinancial"/>
    <s v="Data"/>
    <s v="Data de prueba – Base de Datos RGTRABAJO"/>
    <s v="Solicitud de data de prueba – Base de Datos RGTRABAJO"/>
    <s v="Técnica"/>
    <s v="Alta"/>
    <d v="2026-04-07T00:00:00"/>
    <d v="1899-12-30T00:00:00"/>
    <d v="2026-04-07T00:00:00"/>
    <n v="0"/>
    <s v="Sonia B."/>
    <b v="1"/>
    <x v="2"/>
    <s v="Canales Asistidos"/>
    <n v="0"/>
    <x v="0"/>
  </r>
  <r>
    <n v="1"/>
    <x v="2"/>
    <s v="Cascada"/>
    <n v="0"/>
    <s v="Integración"/>
    <s v="Bantotal"/>
    <s v="Ejecución OT Bantotal PI1"/>
    <s v="SC1274 - Integraciones ODS - Servicios de Contact Points: campos adicionales"/>
    <s v="Técnica"/>
    <s v="Medio"/>
    <d v="1899-12-30T00:00:00"/>
    <d v="1899-12-30T00:00:00"/>
    <d v="1899-12-30T00:00:00"/>
    <n v="0"/>
    <s v="Carol Carbajal"/>
    <b v="1"/>
    <x v="0"/>
    <s v="Integración"/>
    <n v="0"/>
    <x v="1"/>
  </r>
  <r>
    <n v="2"/>
    <x v="2"/>
    <s v="Cascada"/>
    <n v="0"/>
    <s v="Integración"/>
    <s v="Bantotal"/>
    <s v="Ejecución OT Bantotal PI1"/>
    <s v="SC1301 - Integraciones - Agregar CCI a Servicio de CuentasAsociadas a Tarjeta de Débito"/>
    <s v="Técnica"/>
    <s v="Medio"/>
    <d v="1899-12-30T00:00:00"/>
    <d v="1899-12-30T00:00:00"/>
    <d v="1899-12-30T00:00:00"/>
    <n v="0"/>
    <s v="Carol Carbajal"/>
    <b v="1"/>
    <x v="0"/>
    <s v="Integración"/>
    <n v="0"/>
    <x v="1"/>
  </r>
  <r>
    <n v="3"/>
    <x v="2"/>
    <s v="Cascada"/>
    <n v="0"/>
    <s v="Integración"/>
    <s v="Bantotal"/>
    <s v="Ejecución OT Bantotal PI1"/>
    <s v="SC1328 - Fusionar servicios de obtener datos del usuario y obtener detalle de sucursal"/>
    <s v="Técnica"/>
    <s v="Medio"/>
    <d v="1899-12-30T00:00:00"/>
    <d v="1899-12-30T00:00:00"/>
    <d v="1899-12-30T00:00:00"/>
    <n v="0"/>
    <s v="Carol Carbajal"/>
    <b v="1"/>
    <x v="0"/>
    <s v="Integración"/>
    <n v="0"/>
    <x v="1"/>
  </r>
  <r>
    <n v="4"/>
    <x v="2"/>
    <s v="Cascada"/>
    <n v="0"/>
    <s v="Integración"/>
    <s v="Bantotal"/>
    <s v="Ejecución OT Bantotal PI1"/>
    <s v="SC1311 - Integraciones - Formato del Campo idOperacionfmt"/>
    <s v="Técnica"/>
    <s v="Medio"/>
    <d v="1899-12-30T00:00:00"/>
    <d v="1899-12-30T00:00:00"/>
    <d v="1899-12-30T00:00:00"/>
    <n v="0"/>
    <s v="Carol Carbajal"/>
    <b v="1"/>
    <x v="0"/>
    <s v="Integración"/>
    <n v="0"/>
    <x v="1"/>
  </r>
  <r>
    <n v="5"/>
    <x v="2"/>
    <s v="Cascada"/>
    <n v="0"/>
    <s v="Integración"/>
    <s v="Bantotal"/>
    <s v="Ejecución OT Bantotal PI1"/>
    <s v="SC1331 - BT SCTarjetaDebito.ObtenerTarjetasDebitoPorCliente, devolver las tarjetas adicionales"/>
    <s v="Técnica"/>
    <s v="Medio"/>
    <d v="1899-12-30T00:00:00"/>
    <d v="1899-12-30T00:00:00"/>
    <d v="1899-12-30T00:00:00"/>
    <n v="0"/>
    <s v="Carol Carbajal"/>
    <b v="1"/>
    <x v="0"/>
    <s v="Integración"/>
    <n v="0"/>
    <x v="1"/>
  </r>
  <r>
    <n v="6"/>
    <x v="2"/>
    <s v="Cascada"/>
    <n v="0"/>
    <s v="Integración"/>
    <s v="Bantotal"/>
    <s v="Ejecución OT Bantotal PI1"/>
    <s v="SC1354 - Modificar estado de cuenta: mostrar movimientos anulados y marca de cual anulado y cual no"/>
    <s v="Técnica"/>
    <s v="Medio"/>
    <d v="2026-03-17T00:00:00"/>
    <d v="1899-12-30T00:00:00"/>
    <d v="2026-03-17T00:00:00"/>
    <n v="0"/>
    <s v="Carol Carbajal"/>
    <b v="1"/>
    <x v="0"/>
    <s v="Integración"/>
    <n v="0"/>
    <x v="0"/>
  </r>
  <r>
    <n v="7"/>
    <x v="2"/>
    <s v="Cascada"/>
    <n v="0"/>
    <s v="Integración"/>
    <s v="Bantotal"/>
    <s v="Ejecución OT Bantotal PI2"/>
    <s v="SC1354 - Modificar API BTDepositosAPlazo.ObtenerDatos"/>
    <s v="Técnica"/>
    <s v="Medio"/>
    <d v="2026-03-20T00:00:00"/>
    <d v="1899-12-30T00:00:00"/>
    <d v="2026-03-20T00:00:00"/>
    <n v="0"/>
    <s v="Carol Carbajal"/>
    <b v="1"/>
    <x v="0"/>
    <s v="Integración"/>
    <n v="0"/>
    <x v="0"/>
  </r>
  <r>
    <n v="8"/>
    <x v="2"/>
    <s v="Cascada"/>
    <n v="0"/>
    <s v="Integración"/>
    <s v="Bantotal"/>
    <s v="Ejecución OT Bantotal PI2"/>
    <s v="SC1354 - D1-078 Nueva API copia del servicio BTPrestamos.ObtenerDetalle, el 13/03 se entrega mockups"/>
    <s v="Técnica"/>
    <s v="Medio"/>
    <d v="2026-03-17T00:00:00"/>
    <d v="1899-12-30T00:00:00"/>
    <d v="2026-03-17T00:00:00"/>
    <n v="0"/>
    <s v="Carol Carbajal"/>
    <b v="1"/>
    <x v="0"/>
    <s v="Integración"/>
    <n v="0"/>
    <x v="0"/>
  </r>
  <r>
    <n v="9"/>
    <x v="2"/>
    <s v="Cascada"/>
    <n v="0"/>
    <s v="Integración"/>
    <s v="Bantotal"/>
    <s v="Ejecución OT Bantotal PI2"/>
    <s v="SC1354 - D1-169  Nueva API para devolver datos del producto, el 13/03 se entrega mockups"/>
    <s v="Técnica"/>
    <s v="Medio"/>
    <d v="2026-03-20T00:00:00"/>
    <d v="1899-12-30T00:00:00"/>
    <d v="2026-03-20T00:00:00"/>
    <n v="0"/>
    <s v="Carol Carbajal"/>
    <b v="1"/>
    <x v="0"/>
    <s v="Integración"/>
    <n v="0"/>
    <x v="0"/>
  </r>
  <r>
    <n v="10"/>
    <x v="2"/>
    <s v="Cascada"/>
    <n v="0"/>
    <s v="Integración"/>
    <s v="Bantotal"/>
    <s v="Ejecución OT Bantotal PI2"/>
    <s v="SC1354 - D1-081 Nueva API  copia del servicio BTPrestamos.ObtenerCronograma, el 13/03 se entrega mockups"/>
    <s v="Técnica"/>
    <s v="Medio"/>
    <d v="2026-03-26T00:00:00"/>
    <d v="1899-12-30T00:00:00"/>
    <d v="2026-03-26T00:00:00"/>
    <n v="0"/>
    <s v="Carol Carbajal"/>
    <b v="1"/>
    <x v="0"/>
    <s v="Integración"/>
    <n v="0"/>
    <x v="0"/>
  </r>
  <r>
    <n v="11"/>
    <x v="2"/>
    <s v="Cascada"/>
    <n v="0"/>
    <s v="Integración"/>
    <s v="Bantotal"/>
    <s v="Ejecución OT Bantotal PI2"/>
    <s v="SC1357 - Ajustes al servicio de  Puntos de contacto para agregarle campos"/>
    <s v="Técnica"/>
    <s v="Medio"/>
    <d v="2026-03-19T00:00:00"/>
    <d v="1899-12-30T00:00:00"/>
    <d v="2026-03-19T00:00:00"/>
    <n v="0"/>
    <s v="Carol Carbajal"/>
    <b v="1"/>
    <x v="0"/>
    <s v="Integración"/>
    <n v="0"/>
    <x v="0"/>
  </r>
  <r>
    <n v="12"/>
    <x v="2"/>
    <s v="Cascada"/>
    <n v="0"/>
    <s v="Integración"/>
    <s v="Canal Digital"/>
    <s v="Definición PI3 Canales Digitales"/>
    <s v="Se necesita el mapeo de funcionalidades con endpoints de APIs globales para canales digitales Onboarding"/>
    <s v="Funcional"/>
    <s v="Alta"/>
    <d v="2026-03-31T00:00:00"/>
    <d v="1899-12-30T00:00:00"/>
    <d v="2026-03-31T00:00:00"/>
    <n v="0"/>
    <s v="Henry"/>
    <b v="1"/>
    <x v="0"/>
    <s v="Integración"/>
    <n v="0"/>
    <x v="0"/>
  </r>
  <r>
    <n v="13"/>
    <x v="2"/>
    <s v="Cascada"/>
    <n v="0"/>
    <s v="Integración"/>
    <s v="Canal Digital"/>
    <s v="Definición PI3 Canales Digitales"/>
    <s v="Se necesita el mapeo de funcionalidades con endpoints de APIs globales para canales digitales Sin contracting"/>
    <s v="Funcional"/>
    <s v="Alta"/>
    <d v="2026-03-31T00:00:00"/>
    <d v="1899-12-30T00:00:00"/>
    <d v="2026-04-15T00:00:00"/>
    <n v="0"/>
    <s v="Henry"/>
    <b v="1"/>
    <x v="2"/>
    <s v="Integración"/>
    <n v="0"/>
    <x v="0"/>
  </r>
  <r>
    <n v="14"/>
    <x v="2"/>
    <s v="Cascada"/>
    <n v="0"/>
    <s v="Integración"/>
    <s v="Canal Digital"/>
    <s v="Definición PI3 Canales Digitales"/>
    <s v="Se necesita el mapeo de funcionalidades con endpoints de APIs globales para canales digitales Contracting"/>
    <s v="Funcional"/>
    <s v="Alta"/>
    <d v="2026-03-31T00:00:00"/>
    <d v="1899-12-30T00:00:00"/>
    <d v="2026-05-29T00:00:00"/>
    <n v="0"/>
    <s v="Henry"/>
    <b v="1"/>
    <x v="2"/>
    <s v="Integración"/>
    <n v="0"/>
    <x v="0"/>
  </r>
  <r>
    <n v="15"/>
    <x v="2"/>
    <s v="Cascada"/>
    <n v="0"/>
    <s v="Integración"/>
    <s v="Canal Asistido"/>
    <s v="Definición PI3 Canales Asistidos"/>
    <s v="Se necesita el mapeo de funcionalidades con endpoints de APIs globales para canales asistidos"/>
    <s v="Funcional"/>
    <s v="Alta"/>
    <d v="2026-03-31T00:00:00"/>
    <d v="1899-12-30T00:00:00"/>
    <d v="2026-04-15T00:00:00"/>
    <n v="0"/>
    <s v="Sonia"/>
    <b v="1"/>
    <x v="2"/>
    <s v="Integración"/>
    <n v="0"/>
    <x v="0"/>
  </r>
  <r>
    <n v="1"/>
    <x v="3"/>
    <s v="Mapa"/>
    <s v="M-5"/>
    <s v="Cards y Payments"/>
    <s v="Bancared"/>
    <s v="Interconexión con terceros"/>
    <s v="Interconexión con Izipay"/>
    <s v="Técnica"/>
    <s v="Alta"/>
    <d v="2026-04-30T00:00:00"/>
    <d v="1899-12-30T00:00:00"/>
    <s v="TBD"/>
    <n v="0"/>
    <s v="Hector Guerra"/>
    <b v="1"/>
    <x v="0"/>
    <s v="Cards"/>
    <n v="0"/>
    <x v="0"/>
  </r>
  <r>
    <n v="2"/>
    <x v="3"/>
    <s v="Mapa"/>
    <s v="M-5"/>
    <s v="Cards y Payments"/>
    <s v="Bancared"/>
    <s v="Interconexión con terceros"/>
    <s v="Interconexión con Kasnet"/>
    <s v="Técnica"/>
    <s v="Alta"/>
    <d v="2026-04-30T00:00:00"/>
    <d v="1899-12-30T00:00:00"/>
    <s v="TBD"/>
    <n v="0"/>
    <s v="Hector Guerra"/>
    <b v="1"/>
    <x v="0"/>
    <s v="Cards"/>
    <n v="0"/>
    <x v="0"/>
  </r>
  <r>
    <n v="3"/>
    <x v="3"/>
    <s v="Mapa"/>
    <s v="M-5"/>
    <s v="Cards y Payments"/>
    <s v="Bancared"/>
    <s v="Interconexión con terceros"/>
    <s v="Interconexión con Globalnet"/>
    <s v="Técnica"/>
    <s v="Alta"/>
    <d v="2026-05-07T00:00:00"/>
    <d v="1899-12-30T00:00:00"/>
    <s v="TBD"/>
    <n v="0"/>
    <s v="Hector Guerra"/>
    <b v="0"/>
    <x v="2"/>
    <s v="Cards"/>
    <n v="0"/>
    <x v="1"/>
  </r>
  <r>
    <n v="4"/>
    <x v="3"/>
    <s v="Mapa"/>
    <s v="M-5"/>
    <s v="Cards y Payments"/>
    <s v="Bancared"/>
    <s v="Interconexión con terceros"/>
    <s v="Interconexión con Unibanca"/>
    <s v="Técnica"/>
    <s v="Alta"/>
    <d v="2026-05-07T00:00:00"/>
    <d v="1899-12-30T00:00:00"/>
    <s v="TBD"/>
    <n v="0"/>
    <s v="Hector Guerra"/>
    <b v="0"/>
    <x v="2"/>
    <s v="Cards"/>
    <n v="0"/>
    <x v="1"/>
  </r>
  <r>
    <n v="5"/>
    <x v="3"/>
    <s v="Mapa"/>
    <n v="0"/>
    <s v="Cards y Payments"/>
    <s v="Globalnet"/>
    <s v="Homologación y Contrato con Globalnet"/>
    <s v="Iniciar coordinaciones para la implementación de las operaciones de TD y TC"/>
    <s v="Técnica"/>
    <s v="Alta"/>
    <d v="2026-02-28T00:00:00"/>
    <d v="1899-12-30T00:00:00"/>
    <s v="TBD"/>
    <n v="0"/>
    <s v="Administración"/>
    <b v="1"/>
    <x v="0"/>
    <s v="Cards"/>
    <n v="0"/>
    <x v="0"/>
  </r>
  <r>
    <n v="6"/>
    <x v="3"/>
    <s v="Mapa"/>
    <n v="0"/>
    <s v="Cards y Payments"/>
    <s v="Byte"/>
    <s v="Homologación y Contrato del proveedor para Sistema de Conciliación"/>
    <s v="Iniciar coordinaciones para la implementación del Sistema de Conciliación"/>
    <s v="Técnica"/>
    <s v="Alta"/>
    <d v="2026-03-31T00:00:00"/>
    <d v="1899-12-30T00:00:00"/>
    <s v="TBD"/>
    <n v="0"/>
    <s v="Administración"/>
    <b v="1"/>
    <x v="0"/>
    <s v="Cards"/>
    <n v="0"/>
    <x v="0"/>
  </r>
  <r>
    <n v="7"/>
    <x v="3"/>
    <s v="Mapa"/>
    <n v="0"/>
    <s v="Cards y Payments"/>
    <s v="Izipay"/>
    <s v="Requerimientos técnicos por parte de Izipay"/>
    <s v="Retraso en la implementación de las funcionalidades del Switch Transaccional para TD y TC"/>
    <s v="Técnica"/>
    <s v="Alta"/>
    <d v="2026-05-29T00:00:00"/>
    <d v="1899-12-30T00:00:00"/>
    <s v="TBD"/>
    <n v="0"/>
    <s v="Mia Lavandera"/>
    <b v="0"/>
    <x v="3"/>
    <s v="Cards"/>
    <n v="0"/>
    <x v="1"/>
  </r>
  <r>
    <n v="8"/>
    <x v="3"/>
    <s v="Mapa"/>
    <n v="0"/>
    <s v="Cards y Payments"/>
    <s v="Infra México"/>
    <s v="Entrega de la Infraestructura requerida para la implementación del Gateway Server y BD para MIG"/>
    <s v="Retraso en la implementación del MIG"/>
    <s v="Técnica"/>
    <s v="Alta"/>
    <d v="2026-04-30T00:00:00"/>
    <d v="1899-12-30T00:00:00"/>
    <s v="TBD"/>
    <n v="0"/>
    <s v="Leonel Popoca"/>
    <b v="1"/>
    <x v="3"/>
    <s v="Cards"/>
    <n v="0"/>
    <x v="0"/>
  </r>
  <r>
    <n v="9"/>
    <x v="3"/>
    <s v="Mapa"/>
    <n v="0"/>
    <s v="Cards y Payments"/>
    <s v="Operaciones de Tarjeta"/>
    <s v="Recopilación funcionalidades/operaciones del Negocio"/>
    <s v="Entrega de matriz de funcionalidades/operaciones de TC"/>
    <s v="Funcional"/>
    <s v="Alta"/>
    <d v="2026-03-18T00:00:00"/>
    <d v="1899-12-30T00:00:00"/>
    <d v="2026-03-18T00:00:00"/>
    <n v="0"/>
    <s v="Deysi Reyes"/>
    <b v="1"/>
    <x v="0"/>
    <s v="Cards"/>
    <n v="0"/>
    <x v="0"/>
  </r>
  <r>
    <n v="10"/>
    <x v="3"/>
    <s v="Mapa"/>
    <n v="0"/>
    <s v="Canales Asistidos"/>
    <s v="Contact Center"/>
    <s v="Recopilación funcionalidades/operaciones del Negocio"/>
    <s v="Entrega de matriz de funcionalidades/operaciones de TC"/>
    <s v="Funcional"/>
    <s v="Alta"/>
    <d v="2026-03-31T00:00:00"/>
    <d v="1899-12-30T00:00:00"/>
    <d v="2026-03-31T00:00:00"/>
    <n v="0"/>
    <s v="Diana Llanos"/>
    <b v="1"/>
    <x v="0"/>
    <s v="Cards"/>
    <n v="0"/>
    <x v="0"/>
  </r>
  <r>
    <n v="11"/>
    <x v="3"/>
    <s v="Mapa"/>
    <n v="0"/>
    <s v="Cards y Payments"/>
    <s v="Scotiabank"/>
    <s v="Intercambio de llaves con Scotiabank (CVK y PVK, etc)"/>
    <s v="Para ejecución de pruebas en ambiente de UAT"/>
    <s v="Técnica"/>
    <s v="Alta"/>
    <d v="2026-05-15T00:00:00"/>
    <d v="1899-12-30T00:00:00"/>
    <s v="TBD"/>
    <n v="0"/>
    <s v="César Villanueva"/>
    <b v="0"/>
    <x v="1"/>
    <s v="Cards"/>
    <n v="0"/>
    <x v="1"/>
  </r>
  <r>
    <n v="12"/>
    <x v="3"/>
    <s v="Mapa"/>
    <n v="0"/>
    <s v="Cards y Payments"/>
    <s v="Data"/>
    <s v="Entrega del offset de TD"/>
    <s v="Migración de TD activas actualmente"/>
    <s v="Data"/>
    <s v="Alta"/>
    <d v="2026-05-15T00:00:00"/>
    <d v="1899-12-30T00:00:00"/>
    <s v="TBD"/>
    <n v="0"/>
    <s v="Jean Paul Astonitas"/>
    <b v="0"/>
    <x v="2"/>
    <s v="Cards"/>
    <n v="0"/>
    <x v="1"/>
  </r>
  <r>
    <n v="13"/>
    <x v="3"/>
    <s v="Mapa"/>
    <n v="0"/>
    <s v="Cards y Payments"/>
    <s v="Data"/>
    <s v="Entrega del offset de TC"/>
    <s v="Migración de TC activas actualmente"/>
    <s v="Data"/>
    <s v="Alta"/>
    <d v="2026-05-15T00:00:00"/>
    <d v="1899-12-30T00:00:00"/>
    <s v="TBD"/>
    <n v="0"/>
    <s v="Jean Paul Astonitas"/>
    <b v="0"/>
    <x v="2"/>
    <s v="Cards"/>
    <n v="0"/>
    <x v="1"/>
  </r>
  <r>
    <n v="14"/>
    <x v="3"/>
    <s v="Mapa"/>
    <n v="0"/>
    <s v="Cards y Payments"/>
    <s v="Bancared"/>
    <s v="Interconexión con terceros"/>
    <s v="Interconexión con CCE, BCRP"/>
    <s v="Técnica"/>
    <s v="Alta"/>
    <d v="2026-04-30T00:00:00"/>
    <d v="1899-12-30T00:00:00"/>
    <s v="TBD"/>
    <n v="0"/>
    <s v="Hector Guerra"/>
    <b v="1"/>
    <x v="3"/>
    <s v="Payments"/>
    <n v="0"/>
    <x v="0"/>
  </r>
  <r>
    <n v="15"/>
    <x v="3"/>
    <s v="Mapa"/>
    <n v="0"/>
    <s v="Core"/>
    <s v="Synopsis"/>
    <s v="Configuración de APM con Servidores DESA"/>
    <s v="Permitirá la generación de reportería de TIN"/>
    <s v="Técnica"/>
    <s v="Medio"/>
    <d v="2026-04-30T00:00:00"/>
    <d v="1899-12-30T00:00:00"/>
    <s v="TBD"/>
    <n v="0"/>
    <s v="Leonel Popoca"/>
    <b v="1"/>
    <x v="3"/>
    <s v="Payments"/>
    <n v="0"/>
    <x v="0"/>
  </r>
  <r>
    <n v="16"/>
    <x v="3"/>
    <s v="Mapa"/>
    <n v="0"/>
    <s v="Cards y Payments"/>
    <s v="Infra México"/>
    <s v="Diseño de Infraestructura para EDITRAN"/>
    <s v="Para la configuración de EDITRAN (transferencias diferidas)"/>
    <s v="Infraestructura"/>
    <s v="Alta"/>
    <d v="2026-03-20T00:00:00"/>
    <d v="1899-12-30T00:00:00"/>
    <d v="2026-03-20T00:00:00"/>
    <n v="0"/>
    <s v="Leonel Popoca"/>
    <b v="1"/>
    <x v="0"/>
    <s v="Payments"/>
    <n v="0"/>
    <x v="0"/>
  </r>
  <r>
    <n v="17"/>
    <x v="3"/>
    <s v="Mapa"/>
    <n v="0"/>
    <s v="Cards y Payments"/>
    <s v="Arquitectura México"/>
    <s v="Diagrama de arquitectura para instalación de HSMs"/>
    <s v="Instalación de equipos HSMs"/>
    <s v="Arquitectura"/>
    <s v="Alta"/>
    <d v="2026-02-27T00:00:00"/>
    <d v="1899-12-30T00:00:00"/>
    <d v="2026-02-27T00:00:00"/>
    <n v="0"/>
    <s v="Leonel Popoca"/>
    <b v="1"/>
    <x v="0"/>
    <s v="Cards"/>
    <n v="0"/>
    <x v="0"/>
  </r>
  <r>
    <n v="18"/>
    <x v="3"/>
    <s v="Mapa"/>
    <n v="0"/>
    <s v="Cards y Payments"/>
    <s v="Infra México"/>
    <s v="Entrega del SFTP para Agregados de Pagos"/>
    <s v="Para reportería normativa a CCE y BCRP"/>
    <s v="Técnica"/>
    <s v="Alta"/>
    <d v="2026-04-24T00:00:00"/>
    <d v="1899-12-30T00:00:00"/>
    <s v="TBD"/>
    <n v="0"/>
    <s v="Leonel Popoca"/>
    <b v="1"/>
    <x v="3"/>
    <s v="Payments"/>
    <n v="0"/>
    <x v="0"/>
  </r>
  <r>
    <n v="19"/>
    <x v="3"/>
    <s v="Mapa"/>
    <n v="0"/>
    <s v="Cards y Payments"/>
    <s v="Infra México"/>
    <s v="Cifrado HSM para TIN"/>
    <s v="Cifrado de datos y firma digital para transferencias de alto y bajo valor"/>
    <s v="Técnica"/>
    <s v="Alta"/>
    <d v="2026-04-30T00:00:00"/>
    <d v="1899-12-30T00:00:00"/>
    <d v="2026-04-30T00:00:00"/>
    <n v="0"/>
    <s v="Leonel Popoca"/>
    <b v="1"/>
    <x v="1"/>
    <s v="Payments"/>
    <n v="0"/>
    <x v="0"/>
  </r>
  <r>
    <n v="20"/>
    <x v="3"/>
    <s v="Mapa"/>
    <n v="0"/>
    <s v="Cards y Payments"/>
    <s v="BB Integración"/>
    <s v="Conexión con BB Integración y BB Canales Digitales"/>
    <s v="Prueba de comunicación de APIs"/>
    <s v="Técnica"/>
    <s v="Alta"/>
    <d v="2026-04-30T00:00:00"/>
    <d v="1899-12-30T00:00:00"/>
    <s v="TBD"/>
    <n v="0"/>
    <s v="Jorge Paez"/>
    <b v="1"/>
    <x v="2"/>
    <s v="Payments"/>
    <n v="0"/>
    <x v="0"/>
  </r>
  <r>
    <n v="21"/>
    <x v="3"/>
    <s v="Mapa"/>
    <n v="0"/>
    <s v="Cards y Payments"/>
    <s v="Infra México"/>
    <s v="Instalación de aplicaciones y DB en servidores CCE + LBTR + EDITRAN"/>
    <s v="Instalación de de las aplicaciones de las aplicaicones para la generacion de TIN"/>
    <s v="Técnica"/>
    <s v="Alta"/>
    <d v="2026-04-30T00:00:00"/>
    <d v="1899-12-30T00:00:00"/>
    <d v="2026-04-30T00:00:00"/>
    <n v="0"/>
    <s v="Hector Guerra"/>
    <b v="1"/>
    <x v="3"/>
    <s v="Payments"/>
    <n v="0"/>
    <x v="0"/>
  </r>
  <r>
    <n v="22"/>
    <x v="3"/>
    <s v="Mapa"/>
    <n v="0"/>
    <s v="Cards y Payments"/>
    <s v="Infra México"/>
    <s v="Conexión de Agregador TIN con SMTP "/>
    <n v="0"/>
    <s v="Técnica"/>
    <s v="Alta"/>
    <d v="2026-04-30T00:00:00"/>
    <d v="1899-12-30T00:00:00"/>
    <s v="TBD"/>
    <n v="0"/>
    <s v="Hector Guerra"/>
    <b v="1"/>
    <x v="1"/>
    <s v="Payments"/>
    <n v="0"/>
    <x v="0"/>
  </r>
  <r>
    <n v="23"/>
    <x v="3"/>
    <s v="Mapa"/>
    <n v="0"/>
    <s v="Cards y Payments"/>
    <s v="Infra México"/>
    <s v="Configuración SFTP para Agregados de Pagos"/>
    <s v="Para envio de reportería normativa a BCRP y CCE"/>
    <s v="Técnica"/>
    <s v="Alta"/>
    <d v="2026-05-29T00:00:00"/>
    <d v="1899-12-30T00:00:00"/>
    <s v="TBD"/>
    <n v="0"/>
    <s v="Leonel Popoca"/>
    <b v="0"/>
    <x v="1"/>
    <s v="Payments"/>
    <n v="0"/>
    <x v="1"/>
  </r>
  <r>
    <n v="24"/>
    <x v="3"/>
    <s v="Mapa"/>
    <n v="0"/>
    <s v="Cards y Payments"/>
    <s v="Unibanca"/>
    <s v="Implementación de la ruta de emisión de TD (Unibanca)"/>
    <s v="Ruta de emisión de TD (Unibanca)"/>
    <s v="Técnica"/>
    <s v="Alta"/>
    <d v="2026-05-29T00:00:00"/>
    <d v="1899-12-30T00:00:00"/>
    <s v="TBD"/>
    <n v="0"/>
    <s v="Geraldine Córdova"/>
    <b v="0"/>
    <x v="1"/>
    <s v="Payments"/>
    <n v="0"/>
    <x v="1"/>
  </r>
  <r>
    <n v="25"/>
    <x v="3"/>
    <s v="Mapa"/>
    <n v="0"/>
    <s v="Cards y Payments"/>
    <s v="Unibanca"/>
    <s v="Intercambio de llaves + Cifrado de archivos (Unibanca)"/>
    <s v="Archivos (Unibanca)"/>
    <s v="Técnica"/>
    <s v="Alta"/>
    <d v="2026-05-29T00:00:00"/>
    <d v="1899-12-30T00:00:00"/>
    <s v="TBD"/>
    <n v="0"/>
    <s v="Geraldine Córdova"/>
    <b v="0"/>
    <x v="1"/>
    <s v="Payments"/>
    <n v="0"/>
    <x v="1"/>
  </r>
  <r>
    <n v="1"/>
    <x v="4"/>
    <s v="Plan de tranferencia"/>
    <n v="0"/>
    <s v="Migración de datos"/>
    <s v="Core"/>
    <s v="Definición de archivos Core históricos  a migrar "/>
    <s v="Se requiere confirmar: _x000a_1) Desde que año se transferirá la información. _x000a_2) Para cada uno de los años, si se transferirán archivos en formato mensual o anual_x000a_3) Si para el pase a producción, se debe de haber transferido algunos periodos de información, por temas regulatorios."/>
    <s v="Técnica"/>
    <s v="Medio"/>
    <d v="2026-03-20T00:00:00"/>
    <d v="1899-12-30T00:00:00"/>
    <d v="1899-12-30T00:00:00"/>
    <n v="0"/>
    <s v="Julio P."/>
    <b v="1"/>
    <x v="0"/>
    <s v="Migración"/>
    <n v="0"/>
    <x v="0"/>
  </r>
  <r>
    <n v="2"/>
    <x v="4"/>
    <s v="Plan de tranferencia"/>
    <n v="0"/>
    <s v="Migración de datos"/>
    <s v="Core"/>
    <s v="Definición de canal de transferencia de archivos Core históricos "/>
    <s v="Se requiere confirmar si la transferencia se realizará a través del canal de transferencia definido para datos (Sterling), o por otro canal."/>
    <s v="Técnica"/>
    <s v="Medio"/>
    <d v="2026-04-30T00:00:00"/>
    <d v="1899-12-30T00:00:00"/>
    <d v="2026-02-23T00:00:00"/>
    <s v="Julio P."/>
    <s v="Julio P."/>
    <b v="1"/>
    <x v="3"/>
    <s v="Migración"/>
    <n v="0"/>
    <x v="0"/>
  </r>
  <r>
    <n v="3"/>
    <x v="4"/>
    <s v="Req datos"/>
    <n v="0"/>
    <s v="Migración de datos"/>
    <s v="Cards y Payments"/>
    <s v="Identificación de requerimientos de datos BanTotal - Cards"/>
    <s v="Se requiere identificar la data necesaria para la operación de las aplicaciones en desarrollo, para el caso de tablas Bantotal u otras."/>
    <s v="Técnica"/>
    <s v="Medio"/>
    <d v="2026-03-31T00:00:00"/>
    <d v="2026-04-17T00:00:00"/>
    <d v="2026-04-17T00:00:00"/>
    <n v="0"/>
    <s v="Fredy C."/>
    <b v="1"/>
    <x v="3"/>
    <s v="Migración"/>
    <n v="0"/>
    <x v="0"/>
  </r>
  <r>
    <n v="4"/>
    <x v="4"/>
    <s v="Diagrama"/>
    <n v="0"/>
    <s v="Migración de datos"/>
    <s v="Canales Digitales"/>
    <s v="Diagrama de Migración - Canales Digitales"/>
    <s v="Se requiere contar con el diagrama que incluye el flujo de datos para la migración hacia las aplicaciones, indicando los componentes que intervienen en la migración."/>
    <s v="Técnica"/>
    <s v="Medio"/>
    <d v="2026-10-04T00:00:00"/>
    <d v="1899-12-30T00:00:00"/>
    <d v="1899-12-30T00:00:00"/>
    <n v="0"/>
    <s v="Henry J."/>
    <b v="0"/>
    <x v="3"/>
    <s v="Migración"/>
    <n v="0"/>
    <x v="1"/>
  </r>
  <r>
    <n v="5"/>
    <x v="4"/>
    <s v="Plan de tranferencia"/>
    <n v="0"/>
    <s v="Migración de datos"/>
    <s v="Canales Digitales"/>
    <s v="Definición de estrategia de migración de datos - Canales Digitales"/>
    <s v="Se requiere establecer la estrategia de migración de datos para las aplicaciones."/>
    <s v="Técnica"/>
    <s v="Medio"/>
    <d v="2026-10-04T00:00:00"/>
    <d v="1899-12-30T00:00:00"/>
    <d v="1899-12-30T00:00:00"/>
    <n v="0"/>
    <s v="Henry J."/>
    <b v="0"/>
    <x v="0"/>
    <s v="Migración"/>
    <n v="0"/>
    <x v="1"/>
  </r>
  <r>
    <n v="6"/>
    <x v="4"/>
    <s v="Req datos"/>
    <n v="0"/>
    <s v="Migración de datos"/>
    <s v="Cyber &amp; Fraud"/>
    <s v="Identificación de requerimientos de datos BanTotal - Cyber &amp; Fraud"/>
    <s v="Se requiere identificar la data necesaria para la operación de las aplicaciones, para el caso de tablas Bantotal u otras."/>
    <s v="Técnica"/>
    <s v="Medio"/>
    <d v="2026-03-31T00:00:00"/>
    <d v="1899-12-30T00:00:00"/>
    <d v="1899-12-30T00:00:00"/>
    <n v="0"/>
    <s v="Cesar V."/>
    <b v="1"/>
    <x v="0"/>
    <s v="Migración"/>
    <n v="0"/>
    <x v="0"/>
  </r>
  <r>
    <n v="7"/>
    <x v="4"/>
    <s v="Req datos"/>
    <n v="0"/>
    <s v="Migración de datos"/>
    <s v="Canales Asistidos"/>
    <s v="Identificación de requerimientos de datos BanTotal - Cyberfinancial"/>
    <s v="Se requiere identificar la data necesaria para la operación de las aplicaciones en desarrollo, en caso de requerirse tablas Bantotal u otras._x000a_Confirmar las tablas que necesitarán."/>
    <s v="Técnica"/>
    <s v="Medio"/>
    <d v="2026-03-31T00:00:00"/>
    <d v="1899-12-30T00:00:00"/>
    <d v="1899-12-30T00:00:00"/>
    <n v="0"/>
    <s v="Sonia B."/>
    <b v="1"/>
    <x v="0"/>
    <s v="Migración"/>
    <n v="0"/>
    <x v="0"/>
  </r>
  <r>
    <n v="8"/>
    <x v="4"/>
    <s v="Plan de tranferencia"/>
    <n v="0"/>
    <s v="Migración de datos"/>
    <s v="Datos"/>
    <s v="Confirmación de BD analíticas y file servers de usuarios - Inteligencia Comercial"/>
    <s v="Se requiere validar el listado general de bases de datos y file servers que está en el compartido"/>
    <s v="Técnica"/>
    <s v="Medio"/>
    <d v="2026-04-15T00:00:00"/>
    <d v="1899-12-30T00:00:00"/>
    <d v="1899-12-30T00:00:00"/>
    <n v="0"/>
    <s v="Jean A."/>
    <b v="1"/>
    <x v="3"/>
    <s v="Migración"/>
    <n v="0"/>
    <x v="0"/>
  </r>
  <r>
    <n v="9"/>
    <x v="4"/>
    <s v="Plan de tranferencia"/>
    <n v="0"/>
    <s v="Migración de datos"/>
    <s v="Datos"/>
    <s v="Confirmación de BD analíticas y file servers de usuarios - Riesgos y otros"/>
    <s v="Se requiere validar el listado general de bases de datos y file servers que está en el compartido"/>
    <s v="Técnica"/>
    <s v="Medio"/>
    <d v="2026-04-15T00:00:00"/>
    <d v="1899-12-30T00:00:00"/>
    <d v="1899-12-30T00:00:00"/>
    <n v="0"/>
    <s v="Jean A."/>
    <b v="1"/>
    <x v="3"/>
    <s v="Migración"/>
    <n v="0"/>
    <x v="0"/>
  </r>
  <r>
    <n v="10"/>
    <x v="4"/>
    <s v="Plan de tranferencia"/>
    <n v="0"/>
    <s v="Migración de datos"/>
    <s v="Datos"/>
    <s v="Confirmación de BD analíticas y file servers de usuarios - Finanzas"/>
    <s v="Se requiere validar el listado general de bases de datos y file servers que está en el compartido"/>
    <s v="Técnica"/>
    <s v="Medio"/>
    <d v="2026-04-15T00:00:00"/>
    <d v="1899-12-30T00:00:00"/>
    <d v="1899-12-30T00:00:00"/>
    <n v="0"/>
    <s v="Jean A."/>
    <b v="1"/>
    <x v="3"/>
    <s v="Migración"/>
    <n v="0"/>
    <x v="0"/>
  </r>
  <r>
    <n v="11"/>
    <x v="4"/>
    <s v="Req datos"/>
    <n v="0"/>
    <s v="Migración de datos"/>
    <s v="Aplicaciones de Soporte"/>
    <s v="Identificación de requerimientos de datos Bantotal - Aplicaciones de Soporte"/>
    <s v="Se requiere identificar la data necesaria para la operación de las aplicaciones en desarrollo, en caso de requerirse tablas Bantotal u otras."/>
    <s v="Técnica"/>
    <s v="Medio"/>
    <d v="2026-03-31T00:00:00"/>
    <d v="1899-12-30T00:00:00"/>
    <d v="1899-12-30T00:00:00"/>
    <n v="0"/>
    <s v="Jaime H."/>
    <b v="1"/>
    <x v="0"/>
    <s v="Migración"/>
    <n v="0"/>
    <x v="0"/>
  </r>
  <r>
    <n v="12"/>
    <x v="4"/>
    <s v="Plan de tranferencia"/>
    <n v="0"/>
    <s v="Migración de datos"/>
    <s v="Core"/>
    <s v="Definición de estrategia de migración de datos Online- Core"/>
    <s v="Se requiere establecer la estrategia de migración de los archivos txt Online en estructura de paquetes:_x000a_1. Paquete 1 contiene las tablas : ..._x000a_2. Se considera en los paquetes tabals que otras aplicaciones van a rerquerir? seguros, cards, aml, cyber, etc."/>
    <s v="Técnica"/>
    <s v="Medio"/>
    <d v="2026-02-28T00:00:00"/>
    <d v="1899-12-30T00:00:00"/>
    <d v="1899-12-30T00:00:00"/>
    <n v="0"/>
    <s v="Julio P."/>
    <b v="1"/>
    <x v="0"/>
    <s v="Migración"/>
    <n v="0"/>
    <x v="0"/>
  </r>
  <r>
    <n v="13"/>
    <x v="4"/>
    <s v="Req datos"/>
    <n v="0"/>
    <s v="Migración de datos"/>
    <s v="Core"/>
    <s v="Revisión de tablas principales y campos sumatorios para validación"/>
    <s v="Validar el listado de tablas principales para las aplicaciones AS400, así como proponer los campos sumatorios para validación."/>
    <s v="Técnica"/>
    <s v="Medio"/>
    <d v="2026-03-31T00:00:00"/>
    <d v="1899-12-30T00:00:00"/>
    <d v="1899-12-30T00:00:00"/>
    <n v="0"/>
    <s v="Julio P."/>
    <b v="1"/>
    <x v="0"/>
    <s v="Migración"/>
    <n v="0"/>
    <x v="0"/>
  </r>
  <r>
    <n v="14"/>
    <x v="4"/>
    <s v="Diagrama"/>
    <n v="0"/>
    <s v="Migración de datos"/>
    <s v="Core"/>
    <s v="Diagrama de Migración - Core"/>
    <s v="Se requiere elaborar el diagrama de migración, indicando el flujo de la data, para el caso Online e histórico."/>
    <s v="Técnica"/>
    <s v="Medio"/>
    <d v="2026-03-20T00:00:00"/>
    <d v="1899-12-30T00:00:00"/>
    <d v="1899-12-30T00:00:00"/>
    <n v="0"/>
    <s v="Julio P."/>
    <b v="1"/>
    <x v="0"/>
    <s v="Migración"/>
    <n v="0"/>
    <x v="0"/>
  </r>
  <r>
    <n v="15"/>
    <x v="4"/>
    <s v="Diagrama"/>
    <n v="0"/>
    <s v="Migración de datos"/>
    <s v="Canales Asistidos"/>
    <s v="Diagrama de Migración - Canales Asistidos"/>
    <s v="Se requiere actualizar el diagrama que incluye el flujo de datos para la migración hacia las aplicaciones, indicando los servidores al que se transferirá la data. Mesa de Concesiones"/>
    <s v="Técnica"/>
    <s v="Medio"/>
    <d v="2026-03-31T00:00:00"/>
    <d v="1899-12-30T00:00:00"/>
    <d v="2026-04-17T00:00:00"/>
    <n v="0"/>
    <s v="Sonia B."/>
    <b v="1"/>
    <x v="3"/>
    <s v="Migración"/>
    <n v="0"/>
    <x v="0"/>
  </r>
  <r>
    <n v="16"/>
    <x v="4"/>
    <s v="Plan de tranferencia"/>
    <n v="0"/>
    <s v="Migración de datos"/>
    <s v="Canales Asistidos"/>
    <s v="Estrategia de migración de datos - Cyberfinancial"/>
    <s v="Se requiere establecer la estrategia de migración de datos para las aplicaciones."/>
    <s v="Técnica"/>
    <s v="Medio"/>
    <d v="2026-04-10T00:00:00"/>
    <d v="1899-12-30T00:00:00"/>
    <d v="1899-12-30T00:00:00"/>
    <n v="0"/>
    <s v="Sonia B."/>
    <b v="1"/>
    <x v="0"/>
    <s v="Migración"/>
    <n v="0"/>
    <x v="0"/>
  </r>
  <r>
    <n v="17"/>
    <x v="4"/>
    <s v="Diagrama"/>
    <n v="0"/>
    <s v="Migración de datos"/>
    <s v="Procesos"/>
    <s v="Diagrama de Migración - Procesos"/>
    <s v="Se requiere actualizar el diagrama que incluye el flujo de datos para la migración hacia las aplicaciones, indicando los servidores al que se transferirá la data."/>
    <s v="Técnica"/>
    <s v="Medio"/>
    <d v="2026-02-28T00:00:00"/>
    <d v="1899-12-30T00:00:00"/>
    <d v="2026-09-02T00:00:00"/>
    <n v="0"/>
    <s v="Sonia B."/>
    <b v="1"/>
    <x v="0"/>
    <s v="Migración"/>
    <n v="0"/>
    <x v="0"/>
  </r>
  <r>
    <n v="18"/>
    <x v="4"/>
    <s v="Plan de tranferencia"/>
    <n v="0"/>
    <s v="Migración de datos"/>
    <s v="Procesos"/>
    <s v="Definición de estrategia de migración de datos - Procesos"/>
    <s v="Se requiere establecer la estrategia de migración de datos para las aplicaciones."/>
    <s v="Técnica"/>
    <s v="Medio"/>
    <d v="2026-03-20T00:00:00"/>
    <d v="1899-12-30T00:00:00"/>
    <d v="1899-12-30T00:00:00"/>
    <n v="0"/>
    <s v="Sonia B."/>
    <b v="1"/>
    <x v="0"/>
    <s v="Migración"/>
    <n v="0"/>
    <x v="0"/>
  </r>
  <r>
    <n v="19"/>
    <x v="4"/>
    <s v="Diagrama"/>
    <n v="0"/>
    <s v="Migración de datos"/>
    <s v="Cards y Payments"/>
    <s v="Diagrama de Migración - Cards"/>
    <s v="Se requiere establecer la estrategia de migración de datos para las aplicaciones."/>
    <s v="Técnica"/>
    <s v="Medio"/>
    <d v="2026-03-31T00:00:00"/>
    <d v="1899-12-30T00:00:00"/>
    <d v="2026-04-17T00:00:00"/>
    <n v="0"/>
    <s v="Fredy C."/>
    <b v="1"/>
    <x v="3"/>
    <s v="Migración"/>
    <n v="0"/>
    <x v="0"/>
  </r>
  <r>
    <n v="20"/>
    <x v="4"/>
    <s v="Plan de tranferencia"/>
    <n v="0"/>
    <s v="Migración de datos"/>
    <s v="Procesos"/>
    <s v="Definición de estrategia de migración de archivos OnDemand"/>
    <s v="Se requiere establecer la estrategia de migración para los archivos."/>
    <s v="Técnica"/>
    <s v="Medio"/>
    <d v="2026-03-20T00:00:00"/>
    <d v="2026-04-30T00:00:00"/>
    <d v="2026-04-30T00:00:00"/>
    <n v="0"/>
    <s v="Sonia B."/>
    <b v="1"/>
    <x v="0"/>
    <s v="Migración"/>
    <n v="0"/>
    <x v="0"/>
  </r>
  <r>
    <n v="21"/>
    <x v="4"/>
    <s v="Diagrama"/>
    <n v="0"/>
    <s v="Migración de datos"/>
    <s v="Aplicaciones de Soporte"/>
    <s v="Diagrama de Migración - Aplicaciones de soporte"/>
    <s v="Se requiere contar con el diagrama que incluye el flujo de datos para la migración hacia las aplicaciones, indicando los servidores al que se transferirá la data."/>
    <s v="Técnica"/>
    <s v="Medio"/>
    <d v="2026-03-31T00:00:00"/>
    <d v="1899-12-30T00:00:00"/>
    <d v="2026-04-30T00:00:00"/>
    <n v="0"/>
    <s v="Jaime H."/>
    <b v="1"/>
    <x v="0"/>
    <s v="Migración"/>
    <n v="0"/>
    <x v="0"/>
  </r>
  <r>
    <n v="22"/>
    <x v="4"/>
    <s v="Plan de tranferencia"/>
    <n v="0"/>
    <s v="Migración de datos"/>
    <s v="Aplicaciones de Soporte"/>
    <s v="Definición de estrategia de migración de datos - Aplicaciones de soporte"/>
    <s v="Se requiere establecer la estrategia de migración de datos para las aplicaciones."/>
    <s v="Técnica"/>
    <s v="Medio"/>
    <d v="2026-03-31T00:00:00"/>
    <d v="1899-12-30T00:00:00"/>
    <d v="1899-12-30T00:00:00"/>
    <n v="0"/>
    <s v="Jaime H."/>
    <b v="1"/>
    <x v="0"/>
    <s v="Migración"/>
    <n v="0"/>
    <x v="0"/>
  </r>
  <r>
    <n v="23"/>
    <x v="4"/>
    <s v="Req datos"/>
    <n v="0"/>
    <s v="Migración de datos"/>
    <s v="Core"/>
    <s v="Identificación de requerimientos de datos BanTotal - SSM (Seguros)"/>
    <s v="Se requiere identificar la data necesaria para la operación de las aplicaciones en desarrollo, en caso de requerirse tablas Bantotal u otras._x000a_Solicitado a Luis Huaman por correo."/>
    <s v="Técnica"/>
    <s v="Medio"/>
    <d v="2026-04-30T00:00:00"/>
    <d v="1899-12-30T00:00:00"/>
    <d v="1899-12-30T00:00:00"/>
    <n v="0"/>
    <s v="Julio P."/>
    <b v="1"/>
    <x v="0"/>
    <s v="Migración"/>
    <n v="0"/>
    <x v="0"/>
  </r>
  <r>
    <n v="24"/>
    <x v="4"/>
    <s v="Diagrama"/>
    <n v="0"/>
    <s v="Migración de datos"/>
    <s v="Core"/>
    <s v="Diagrama de Migración -  SSM (Seguros)"/>
    <s v="Se requiere contar con el diagrama que incluye el flujo de datos para la migración hacia las aplicaciones, indicando los servidores al que se transferirá la data."/>
    <s v="Técnica"/>
    <s v="Medio"/>
    <d v="2026-04-30T00:00:00"/>
    <d v="1899-12-30T00:00:00"/>
    <d v="2026-04-30T00:00:00"/>
    <n v="0"/>
    <s v="Julio P."/>
    <b v="1"/>
    <x v="3"/>
    <s v="Migración"/>
    <n v="0"/>
    <x v="0"/>
  </r>
  <r>
    <n v="25"/>
    <x v="4"/>
    <s v="Plan de tranferencia"/>
    <n v="0"/>
    <s v="Migración de datos"/>
    <s v="Core"/>
    <s v="Definición de estrategia de migración de datos -  SSM (Seguros)"/>
    <s v="Se requiere establecer la estrategia de migración de datos para las aplicaciones."/>
    <s v="Técnica"/>
    <s v="Medio"/>
    <d v="2026-03-31T00:00:00"/>
    <d v="1899-12-30T00:00:00"/>
    <d v="1899-12-30T00:00:00"/>
    <n v="0"/>
    <s v="Julio P."/>
    <b v="1"/>
    <x v="0"/>
    <s v="Migración"/>
    <n v="0"/>
    <x v="0"/>
  </r>
  <r>
    <n v="26"/>
    <x v="4"/>
    <s v="Req datos"/>
    <n v="0"/>
    <s v="Migración de datos"/>
    <s v="Datos"/>
    <s v="Identificación de tablas prioritarias - Inteligencia Comercial"/>
    <s v="Se requiere llenar el formato incluyendo las tablas que forman parte del proceso"/>
    <s v="Técnica"/>
    <s v="Medio"/>
    <d v="2026-04-15T00:00:00"/>
    <d v="2026-04-30T00:00:00"/>
    <d v="1899-12-30T00:00:00"/>
    <n v="0"/>
    <s v="Jean A."/>
    <b v="1"/>
    <x v="3"/>
    <s v="Migración"/>
    <n v="0"/>
    <x v="0"/>
  </r>
  <r>
    <n v="27"/>
    <x v="4"/>
    <s v="Req datos"/>
    <n v="0"/>
    <s v="Migración de datos"/>
    <s v="Canales Digitales"/>
    <s v="Identificación de requerimientos de datos BanTotal - Canales Digitales"/>
    <s v="Se requiere identificar la data necesaria para la operación de las aplicaciones en desarrollo, en caso de requerirse tablas Bantotal u otras._x000a_Soliciatado a Arnold por correo"/>
    <s v="Técnica"/>
    <s v="Medio"/>
    <d v="2026-10-04T00:00:00"/>
    <d v="1899-12-30T00:00:00"/>
    <d v="1899-12-30T00:00:00"/>
    <n v="0"/>
    <s v="Henry J."/>
    <b v="0"/>
    <x v="0"/>
    <s v="Migración"/>
    <n v="0"/>
    <x v="1"/>
  </r>
  <r>
    <n v="28"/>
    <x v="4"/>
    <s v="Diagrama"/>
    <n v="0"/>
    <s v="Migración de datos"/>
    <s v="Cyber &amp; Fraud"/>
    <s v="Diagrama de Migración  - Cyber &amp; Fraud"/>
    <s v="Se requiere identificar si como parte de la data necesaria para la operación de las aplicaciones, se requieren tablas Bantotal u otras desde el SBP."/>
    <s v="Técnica"/>
    <s v="Medio"/>
    <d v="2026-04-30T00:00:00"/>
    <d v="1899-12-30T00:00:00"/>
    <d v="2026-04-30T00:00:00"/>
    <n v="0"/>
    <s v="Cesar V."/>
    <b v="1"/>
    <x v="3"/>
    <s v="Migración"/>
    <n v="0"/>
    <x v="0"/>
  </r>
  <r>
    <n v="29"/>
    <x v="4"/>
    <s v="Req datos"/>
    <n v="0"/>
    <s v="Migración de datos"/>
    <s v="Datos"/>
    <s v="Identificación de tablas prioritarias - Riesgos"/>
    <s v="Se requiere llenar el formato incluyendo las tablas que forman parte del proceso"/>
    <s v="Técnica"/>
    <s v="Medio"/>
    <d v="2026-04-15T00:00:00"/>
    <d v="2026-04-30T00:00:00"/>
    <d v="1899-12-30T00:00:00"/>
    <n v="0"/>
    <s v="Jean A."/>
    <b v="1"/>
    <x v="3"/>
    <s v="Migración"/>
    <n v="0"/>
    <x v="0"/>
  </r>
  <r>
    <n v="30"/>
    <x v="4"/>
    <s v="Req datos"/>
    <n v="0"/>
    <s v="Migración de datos"/>
    <s v="Datos"/>
    <s v="Identificación de tablas prioritarias - Finanzas"/>
    <s v="Se requiere llenar el formato incluyendo las tablas que forman parte del proceso"/>
    <s v="Técnica"/>
    <s v="Medio"/>
    <d v="2026-04-15T00:00:00"/>
    <d v="2026-04-30T00:00:00"/>
    <d v="1899-12-30T00:00:00"/>
    <n v="0"/>
    <s v="Jean A."/>
    <b v="1"/>
    <x v="3"/>
    <s v="Migración"/>
    <n v="0"/>
    <x v="0"/>
  </r>
  <r>
    <n v="31"/>
    <x v="4"/>
    <s v="Plan de tranferencia"/>
    <n v="0"/>
    <s v="Migración de datos"/>
    <s v="Cards y Payments"/>
    <s v="Definición de estrategia de migración de datos - Reportes de interoperabilidad históricos"/>
    <s v="Se requiere establecer la estrategia de migración de los archivos históricos."/>
    <s v="Técnica"/>
    <s v="Medio"/>
    <d v="2026-03-31T00:00:00"/>
    <d v="1899-12-30T00:00:00"/>
    <d v="1899-12-30T00:00:00"/>
    <n v="0"/>
    <s v="Fredy C."/>
    <b v="1"/>
    <x v="0"/>
    <s v="Migración"/>
    <n v="0"/>
    <x v="0"/>
  </r>
  <r>
    <n v="32"/>
    <x v="4"/>
    <s v="Plan de tranferencia"/>
    <n v="0"/>
    <s v="Migración de datos"/>
    <s v="Canales Asistidos"/>
    <s v="Estrategia de Migración - Archivos de audio IVR"/>
    <s v="Se requiere establecer la estrategia de migración de los archivos históricos."/>
    <s v="Técnica"/>
    <s v="Medio"/>
    <d v="2026-03-31T00:00:00"/>
    <d v="1899-12-30T00:00:00"/>
    <d v="1899-12-30T00:00:00"/>
    <n v="0"/>
    <s v="Sonia B."/>
    <b v="1"/>
    <x v="0"/>
    <s v="Migración"/>
    <n v="0"/>
    <x v="0"/>
  </r>
  <r>
    <n v="33"/>
    <x v="4"/>
    <s v="Req datos"/>
    <n v="0"/>
    <s v="Migración de datos"/>
    <s v="Procesos"/>
    <s v="Identificación de requerimientos de datos BanTotal - Procesos"/>
    <s v="Se requiere identificar la data necesaria para la operación de las aplicaciones en desarrollo, en caso de requerirse tablas Bantotal u otras."/>
    <s v="Técnica"/>
    <s v="Medio"/>
    <d v="2026-04-30T00:00:00"/>
    <d v="1899-12-30T00:00:00"/>
    <d v="1899-12-30T00:00:00"/>
    <n v="0"/>
    <s v="Sonia B."/>
    <b v="1"/>
    <x v="0"/>
    <s v="Migración"/>
    <n v="0"/>
    <x v="0"/>
  </r>
  <r>
    <n v="1"/>
    <x v="5"/>
    <s v="Mapa"/>
    <s v="M-X"/>
    <s v="Soporte / Modellica (Admisión Crediticia)"/>
    <s v="Riesgos TI"/>
    <s v="Servicio de consulta en línea con Experian y Equifax"/>
    <s v="Contratar el servicio de consulta en línea de Experian y Equifax"/>
    <s v="Técnica"/>
    <s v="Alta"/>
    <d v="2026-03-20T00:00:00"/>
    <d v="1899-12-30T00:00:00"/>
    <s v="TBD"/>
    <n v="0"/>
    <s v="Darwin C."/>
    <b v="1"/>
    <x v="2"/>
    <s v="Soporte"/>
    <n v="0"/>
    <x v="0"/>
  </r>
  <r>
    <n v="2"/>
    <x v="5"/>
    <s v="Mapa"/>
    <s v="M-X"/>
    <s v="Soporte / KYC - Score AML Batch"/>
    <s v="Proveedor Monitor"/>
    <s v="Proceso Batch"/>
    <s v="Generacion de Archivo SCORE AML mensual"/>
    <s v="Técnica"/>
    <s v="Alta"/>
    <d v="2026-03-23T00:00:00"/>
    <d v="1899-12-30T00:00:00"/>
    <s v="TBD"/>
    <n v="0"/>
    <s v="Enrique Lopez"/>
    <b v="1"/>
    <x v="2"/>
    <s v="Soporte"/>
    <n v="0"/>
    <x v="0"/>
  </r>
  <r>
    <n v="3"/>
    <x v="5"/>
    <s v="Mapa"/>
    <s v="MF-JH-0005"/>
    <s v="Soporte / Spring ERP"/>
    <s v="Core"/>
    <s v="Definición de interfaces"/>
    <s v="Definir las interfaces para asientos contables en BT"/>
    <s v="Técnica"/>
    <s v="Alta"/>
    <d v="2026-05-15T00:00:00"/>
    <d v="1899-12-30T00:00:00"/>
    <d v="2026-05-15T00:00:00"/>
    <n v="0"/>
    <s v="Julio P."/>
    <b v="0"/>
    <x v="1"/>
    <s v="Soporte"/>
    <n v="0"/>
    <x v="1"/>
  </r>
  <r>
    <n v="4"/>
    <x v="5"/>
    <s v="Mapa"/>
    <s v="MF-JH-0028"/>
    <s v="Soporte / Spring ERP / Gestión de Logistica / Logistica de Proveedores"/>
    <s v="Comunication Manager"/>
    <s v="Habilitación de interfaz de correos"/>
    <s v="Habilitar el envio de correos internos y/o externos"/>
    <s v="Técnica"/>
    <s v="Alta"/>
    <d v="2026-05-15T00:00:00"/>
    <d v="1899-12-30T00:00:00"/>
    <s v="TBD"/>
    <n v="0"/>
    <s v="Willy V"/>
    <b v="0"/>
    <x v="1"/>
    <s v="Soporte"/>
    <n v="0"/>
    <x v="1"/>
  </r>
  <r>
    <n v="5"/>
    <x v="5"/>
    <s v="Mapa"/>
    <s v="MF-JH-0029"/>
    <s v="Soporte / Spring ERP / Gestión de Logistica / Logistica de Economato"/>
    <s v="Comunication Manager"/>
    <s v="Habilitación de interfaz de correos"/>
    <s v="Habilitar el envio de correos internos y/o externos"/>
    <s v="Técnica"/>
    <s v="Alta"/>
    <d v="2026-05-15T00:00:00"/>
    <d v="1899-12-30T00:00:00"/>
    <s v="TBD"/>
    <n v="0"/>
    <s v="Willy V"/>
    <b v="0"/>
    <x v="1"/>
    <s v="Soporte"/>
    <n v="0"/>
    <x v="1"/>
  </r>
  <r>
    <n v="6"/>
    <x v="5"/>
    <s v="Mapa"/>
    <s v="MF-JH-0030"/>
    <s v="Soporte / Spring ERP / Gestión de Logistica / Mantenimiento de Oficinas"/>
    <s v="Comunication Manager"/>
    <s v="Habilitación de interfaz de correos"/>
    <s v="Habilitar el envio de correos internos y/o externos"/>
    <s v="Técnica"/>
    <s v="Alta"/>
    <d v="2026-05-15T00:00:00"/>
    <d v="1899-12-30T00:00:00"/>
    <s v="TBD"/>
    <n v="0"/>
    <s v="Willy V"/>
    <b v="0"/>
    <x v="1"/>
    <s v="Soporte"/>
    <n v="0"/>
    <x v="1"/>
  </r>
  <r>
    <n v="7"/>
    <x v="5"/>
    <s v="Mapa"/>
    <s v="MF-JH-0031"/>
    <s v="Soporte / Spring ERP / Gestión de Logistica / Logistica de Mantenimiento de Almacén"/>
    <s v="Comunication Manager"/>
    <s v="Habilitación de interfaz de correos"/>
    <s v="Habilitar el envio de correos internos y/o externos"/>
    <s v="Técnica"/>
    <s v="Alta"/>
    <d v="2026-05-15T00:00:00"/>
    <d v="1899-12-30T00:00:00"/>
    <s v="TBD"/>
    <n v="0"/>
    <s v="Willy V"/>
    <b v="0"/>
    <x v="1"/>
    <s v="Soporte"/>
    <n v="0"/>
    <x v="1"/>
  </r>
  <r>
    <n v="8"/>
    <x v="5"/>
    <s v="Mapa"/>
    <s v="MF-JH-0032"/>
    <s v="Soporte / Spring ERP / Gestión de Contratos / Asignación de presupuesto"/>
    <s v="Comunication Manager"/>
    <s v="Habilitación de interfaz de correos"/>
    <s v="Habilitar el envio de correos internos y/o externos"/>
    <s v="Técnica"/>
    <s v="Alta"/>
    <d v="2026-05-15T00:00:00"/>
    <d v="1899-12-30T00:00:00"/>
    <s v="TBD"/>
    <n v="0"/>
    <s v="Willy V"/>
    <b v="0"/>
    <x v="1"/>
    <s v="Soporte"/>
    <n v="0"/>
    <x v="1"/>
  </r>
  <r>
    <n v="9"/>
    <x v="5"/>
    <s v="Mapa"/>
    <s v="MF-JH-0033"/>
    <s v="Soporte / Spring ERP / Gestión de Contratos / Registro de Contratos de proveedores"/>
    <s v="Comunication Manager"/>
    <s v="Habilitación de interfaz de correos"/>
    <s v="Habilitar el envio de correos internos y/o externos"/>
    <s v="Técnica"/>
    <s v="Alta"/>
    <d v="2026-05-15T00:00:00"/>
    <d v="1899-12-30T00:00:00"/>
    <s v="TBD"/>
    <n v="0"/>
    <s v="Willy V"/>
    <b v="0"/>
    <x v="1"/>
    <s v="Soporte"/>
    <n v="0"/>
    <x v="1"/>
  </r>
  <r>
    <n v="10"/>
    <x v="5"/>
    <s v="Mapa"/>
    <s v="MF-JH-0034"/>
    <s v="Soporte / Spring ERP / Gestión de Contratos / Registro de adendas"/>
    <s v="Comunication Manager"/>
    <s v="Habilitación de interfaz de correos"/>
    <s v="Habilitar el envio de correos internos y/o externos"/>
    <s v="Técnica"/>
    <s v="Alta"/>
    <d v="2026-05-15T00:00:00"/>
    <d v="1899-12-30T00:00:00"/>
    <s v="TBD"/>
    <n v="0"/>
    <s v="Willy V"/>
    <b v="0"/>
    <x v="1"/>
    <s v="Soporte"/>
    <n v="0"/>
    <x v="1"/>
  </r>
  <r>
    <n v="11"/>
    <x v="5"/>
    <s v="Mapa"/>
    <s v="MF-JH-0035"/>
    <s v="Soporte / Spring ERP / Gestión de Contratos / Actualización de saldos"/>
    <s v="Comunication Manager"/>
    <s v="Habilitación de interfaz de correos"/>
    <s v="Habilitar el envio de correos internos y/o externos"/>
    <s v="Técnica"/>
    <s v="Alta"/>
    <d v="2026-05-15T00:00:00"/>
    <d v="1899-12-30T00:00:00"/>
    <s v="TBD"/>
    <n v="0"/>
    <s v="Willy V"/>
    <b v="0"/>
    <x v="1"/>
    <s v="Soporte"/>
    <n v="0"/>
    <x v="1"/>
  </r>
  <r>
    <n v="12"/>
    <x v="5"/>
    <s v="Mapa"/>
    <s v="MF-JH-0036"/>
    <s v="Soporte / Spring ERP / Pago de Obligaciones / Pagos de servicios públicos (agua, luz, etc)"/>
    <s v="Comunication Manager"/>
    <s v="Habilitación de interfaz de correos"/>
    <s v="Habilitar el envio de correos internos y/o externos"/>
    <s v="Técnica"/>
    <s v="Alta"/>
    <d v="2026-05-15T00:00:00"/>
    <d v="1899-12-30T00:00:00"/>
    <s v="TBD"/>
    <n v="0"/>
    <s v="Willy V"/>
    <b v="0"/>
    <x v="1"/>
    <s v="Soporte"/>
    <n v="0"/>
    <x v="1"/>
  </r>
  <r>
    <n v="13"/>
    <x v="5"/>
    <s v="Mapa"/>
    <s v="MF-JH-0037"/>
    <s v="Soporte / Spring ERP / Pago de Obligaciones / Pagos de servicios públicos (agua, luz, etc)"/>
    <s v="Comunication Manager"/>
    <s v="Habilitación de interfaz de correos"/>
    <s v="Habilitar el envio de correos internos y/o externos"/>
    <s v="Técnica"/>
    <s v="Alta"/>
    <d v="2026-05-15T00:00:00"/>
    <d v="1899-12-30T00:00:00"/>
    <s v="TBD"/>
    <n v="0"/>
    <s v="Willy V"/>
    <b v="0"/>
    <x v="1"/>
    <s v="Soporte"/>
    <n v="0"/>
    <x v="1"/>
  </r>
  <r>
    <n v="14"/>
    <x v="5"/>
    <s v="Mapa"/>
    <s v="MF-JH-0038"/>
    <s v="Soporte / Spring ERP / Pago de Obligaciones / Cuentas por pagar/cobrar"/>
    <s v="Comunication Manager"/>
    <s v="Habilitación de interfaz de correos"/>
    <s v="Habilitar el envio de correos internos y/o externos"/>
    <s v="Técnica"/>
    <s v="Alta"/>
    <d v="2026-05-15T00:00:00"/>
    <d v="1899-12-30T00:00:00"/>
    <s v="TBD"/>
    <n v="0"/>
    <s v="Willy V"/>
    <b v="0"/>
    <x v="1"/>
    <s v="Soporte"/>
    <n v="0"/>
    <x v="1"/>
  </r>
  <r>
    <n v="15"/>
    <x v="5"/>
    <s v="Mapa"/>
    <s v="MF-JH-0039"/>
    <s v="Soporte / Spring ERP / Gestión de activos / Alta y Baja de Activos fijos"/>
    <s v="Comunication Manager"/>
    <s v="Habilitación de interfaz de correos"/>
    <s v="Habilitar el envio de correos internos y/o externos"/>
    <s v="Técnica"/>
    <s v="Alta"/>
    <d v="2026-05-15T00:00:00"/>
    <d v="1899-12-30T00:00:00"/>
    <s v="TBD"/>
    <n v="0"/>
    <s v="Willy V"/>
    <b v="0"/>
    <x v="1"/>
    <s v="Soporte"/>
    <n v="0"/>
    <x v="1"/>
  </r>
  <r>
    <n v="16"/>
    <x v="5"/>
    <s v="Mapa"/>
    <s v="MF-JH-0040"/>
    <s v="Soporte / Spring ERP / Presupuesto / Control de Presupuesto"/>
    <s v="Comunication Manager"/>
    <s v="Habilitación de interfaz de correos"/>
    <s v="Habilitar el envio de correos internos y/o externos"/>
    <s v="Técnica"/>
    <s v="Alta"/>
    <d v="2026-05-15T00:00:00"/>
    <d v="1899-12-30T00:00:00"/>
    <s v="TBD"/>
    <n v="0"/>
    <s v="Willy V"/>
    <b v="0"/>
    <x v="1"/>
    <s v="Soporte"/>
    <n v="0"/>
    <x v="1"/>
  </r>
  <r>
    <n v="17"/>
    <x v="5"/>
    <s v="Mapa"/>
    <s v="MF-JH-0041"/>
    <s v="Soporte / Spring ERP / Presupuesto / Inicial de presupuesto anual"/>
    <s v="Comunication Manager"/>
    <s v="Habilitación de interfaz de correos"/>
    <s v="Habilitar el envio de correos internos y/o externos"/>
    <s v="Técnica"/>
    <s v="Alta"/>
    <d v="2026-05-15T00:00:00"/>
    <d v="1899-12-30T00:00:00"/>
    <s v="TBD"/>
    <n v="0"/>
    <s v="Willy V"/>
    <b v="0"/>
    <x v="1"/>
    <s v="Soporte"/>
    <n v="0"/>
    <x v="1"/>
  </r>
  <r>
    <n v="18"/>
    <x v="5"/>
    <s v="Mapa"/>
    <s v="MF-JH-0042"/>
    <s v="Soporte / Spring ERP / Pago de Obligaciones / Recepción de facturas"/>
    <s v="Comunication Manager"/>
    <s v="Habilitación de interfaz de correos"/>
    <s v="Habilitar el envio de correos internos y/o externos"/>
    <s v="Técnica"/>
    <s v="Alta"/>
    <d v="2026-05-15T00:00:00"/>
    <d v="1899-12-30T00:00:00"/>
    <s v="TBD"/>
    <n v="0"/>
    <s v="Willy V"/>
    <b v="0"/>
    <x v="1"/>
    <s v="Soporte"/>
    <n v="0"/>
    <x v="1"/>
  </r>
  <r>
    <n v="19"/>
    <x v="5"/>
    <s v="Mapa"/>
    <s v="MF-JH-0043"/>
    <s v="Soporte / Spring ERP / Gestión de Contratos / Registro de Contratos de proveedores"/>
    <s v="Comunication Manager"/>
    <s v="Habilitación de interfaz de correos"/>
    <s v="Habilitar el envio de correos internos y/o externos"/>
    <s v="Técnica"/>
    <s v="Alta"/>
    <d v="2026-05-15T00:00:00"/>
    <d v="1899-12-30T00:00:00"/>
    <s v="TBD"/>
    <n v="0"/>
    <s v="Willy V"/>
    <b v="0"/>
    <x v="1"/>
    <s v="Soporte"/>
    <n v="0"/>
    <x v="1"/>
  </r>
  <r>
    <n v="20"/>
    <x v="5"/>
    <s v="Mapa"/>
    <s v="MF-JH-0044"/>
    <s v="Soporte / Spring ERP / Pago de Obligaciones / Pago a Proveedores"/>
    <s v="Comunication Manager"/>
    <s v="Habilitación de interfaz de correos"/>
    <s v="Habilitar el envio de correos internos y/o externos"/>
    <s v="Técnica"/>
    <s v="Alta"/>
    <d v="2026-05-15T00:00:00"/>
    <d v="1899-12-30T00:00:00"/>
    <s v="TBD"/>
    <n v="0"/>
    <s v="Willy V"/>
    <b v="0"/>
    <x v="1"/>
    <s v="Soporte"/>
    <n v="0"/>
    <x v="1"/>
  </r>
  <r>
    <n v="21"/>
    <x v="5"/>
    <s v="Mapa"/>
    <s v="MF-JH-0045"/>
    <s v="Soporte / Spring ERP / Pago de Obligaciones / Aprobación de facturas"/>
    <s v="Comunication Manager"/>
    <s v="Habilitación de interfaz de correos"/>
    <s v="Habilitar el envio de correos internos y/o externos"/>
    <s v="Técnica"/>
    <s v="Alta"/>
    <d v="2026-05-15T00:00:00"/>
    <d v="1899-12-30T00:00:00"/>
    <s v="TBD"/>
    <n v="0"/>
    <s v="Willy V"/>
    <b v="0"/>
    <x v="1"/>
    <s v="Soporte"/>
    <n v="0"/>
    <x v="1"/>
  </r>
  <r>
    <n v="22"/>
    <x v="5"/>
    <s v="Mapa"/>
    <s v="MF-JH-0046"/>
    <s v="Soporte / Spring ERP / Pago de Obligaciones / Pago de tributo e impuestos"/>
    <s v="Comunication Manager"/>
    <s v="Habilitación de interfaz de correos"/>
    <s v="Habilitar el envio de correos internos y/o externos"/>
    <s v="Técnica"/>
    <s v="Alta"/>
    <d v="2026-05-15T00:00:00"/>
    <d v="1899-12-30T00:00:00"/>
    <s v="TBD"/>
    <n v="0"/>
    <s v="Willy V"/>
    <b v="0"/>
    <x v="1"/>
    <s v="Soporte"/>
    <n v="0"/>
    <x v="1"/>
  </r>
  <r>
    <n v="23"/>
    <x v="5"/>
    <s v="Mapa"/>
    <s v="MF-JH-0047"/>
    <s v="Soporte / Spring ERP / Gestión Contable / Generación de Asientos Contables"/>
    <s v="Comunication Manager"/>
    <s v="Habilitación de interfaz de correos"/>
    <s v="Habilitar el envio de correos internos y/o externos"/>
    <s v="Técnica"/>
    <s v="Alta"/>
    <d v="2026-05-15T00:00:00"/>
    <d v="1899-12-30T00:00:00"/>
    <s v="TBD"/>
    <n v="0"/>
    <s v="Willy V"/>
    <b v="0"/>
    <x v="1"/>
    <s v="Soporte"/>
    <n v="0"/>
    <x v="1"/>
  </r>
  <r>
    <n v="24"/>
    <x v="5"/>
    <s v="Mapa"/>
    <s v="MF-JH-0048"/>
    <s v="Soporte / Spring ERP / Gestión Contable / Cierre Contable"/>
    <s v="Comunication Manager"/>
    <s v="Habilitación de interfaz de correos"/>
    <s v="Habilitar el envio de correos internos y/o externos"/>
    <s v="Técnica"/>
    <s v="Alta"/>
    <d v="2026-05-15T00:00:00"/>
    <d v="1899-12-30T00:00:00"/>
    <s v="TBD"/>
    <n v="0"/>
    <s v="Willy V"/>
    <b v="0"/>
    <x v="1"/>
    <s v="Soporte"/>
    <n v="0"/>
    <x v="1"/>
  </r>
  <r>
    <n v="25"/>
    <x v="5"/>
    <s v="Mapa"/>
    <s v="MF-JH-0049"/>
    <s v="Soporte / Spring ERP / Reportes / Reportes y Consultas"/>
    <s v="Comunication Manager"/>
    <s v="Habilitación de interfaz de correos"/>
    <s v="Habilitar el envio de correos internos y/o externos"/>
    <s v="Técnica"/>
    <s v="Alta"/>
    <d v="2026-05-15T00:00:00"/>
    <d v="1899-12-30T00:00:00"/>
    <s v="TBD"/>
    <n v="0"/>
    <s v="Willy V"/>
    <b v="0"/>
    <x v="1"/>
    <s v="Soporte"/>
    <n v="0"/>
    <x v="1"/>
  </r>
  <r>
    <n v="26"/>
    <x v="5"/>
    <s v="Mapa"/>
    <s v="MF-JH-0028"/>
    <s v="Soporte / Spring ERP / Gestión de Logistica / Logistica de Proveedores"/>
    <s v="Infraestructura"/>
    <s v="Habilitación de infraestructura"/>
    <s v="Habilitar la infraestructura AWS"/>
    <s v="Técnica"/>
    <s v="Alta"/>
    <d v="2026-05-15T00:00:00"/>
    <d v="1899-12-30T00:00:00"/>
    <d v="2026-05-15T00:00:00"/>
    <n v="0"/>
    <s v="Hector G."/>
    <b v="0"/>
    <x v="2"/>
    <s v="Soporte"/>
    <n v="0"/>
    <x v="1"/>
  </r>
  <r>
    <n v="27"/>
    <x v="5"/>
    <s v="Mapa"/>
    <s v="MF-JH-0029"/>
    <s v="Soporte / Spring ERP / Gestión de Logistica / Logistica de Economato"/>
    <s v="Infraestructura"/>
    <s v="Habilitación de infraestructura"/>
    <s v="Habilitar la infraestructura AWS"/>
    <s v="Técnica"/>
    <s v="Alta"/>
    <d v="2026-05-15T00:00:00"/>
    <d v="1899-12-30T00:00:00"/>
    <d v="2026-05-15T00:00:00"/>
    <n v="0"/>
    <s v="Hector G."/>
    <b v="0"/>
    <x v="2"/>
    <s v="Soporte"/>
    <n v="0"/>
    <x v="1"/>
  </r>
  <r>
    <n v="28"/>
    <x v="5"/>
    <s v="Mapa"/>
    <s v="MF-JH-0030"/>
    <s v="Soporte / Spring ERP / Gestión de Logistica / Mantenimiento de Oficinas"/>
    <s v="Infraestructura"/>
    <s v="Habilitación de infraestructura"/>
    <s v="Habilitar la infraestructura AWS"/>
    <s v="Técnica"/>
    <s v="Alta"/>
    <d v="2026-05-15T00:00:00"/>
    <d v="1899-12-30T00:00:00"/>
    <d v="2026-05-15T00:00:00"/>
    <n v="0"/>
    <s v="Hector G."/>
    <b v="0"/>
    <x v="2"/>
    <s v="Soporte"/>
    <n v="0"/>
    <x v="1"/>
  </r>
  <r>
    <n v="29"/>
    <x v="5"/>
    <s v="Mapa"/>
    <s v="MF-JH-0031"/>
    <s v="Soporte / Spring ERP / Gestión de Logistica / Logistica de Mantenimiento de Almacén"/>
    <s v="Infraestructura"/>
    <s v="Habilitación de infraestructura"/>
    <s v="Habilitar la infraestructura AWS"/>
    <s v="Técnica"/>
    <s v="Alta"/>
    <d v="2026-05-15T00:00:00"/>
    <d v="1899-12-30T00:00:00"/>
    <d v="2026-05-15T00:00:00"/>
    <n v="0"/>
    <s v="Hector G."/>
    <b v="0"/>
    <x v="2"/>
    <s v="Soporte"/>
    <n v="0"/>
    <x v="1"/>
  </r>
  <r>
    <n v="30"/>
    <x v="5"/>
    <s v="Mapa"/>
    <s v="MF-JH-0032"/>
    <s v="Soporte / Spring ERP / Gestión de Contratos / Asignación de presupuesto"/>
    <s v="Infraestructura"/>
    <s v="Habilitación de infraestructura"/>
    <s v="Habilitar la infraestructura AWS"/>
    <s v="Técnica"/>
    <s v="Alta"/>
    <d v="2026-05-15T00:00:00"/>
    <d v="1899-12-30T00:00:00"/>
    <d v="2026-05-15T00:00:00"/>
    <n v="0"/>
    <s v="Hector G."/>
    <b v="0"/>
    <x v="2"/>
    <s v="Soporte"/>
    <n v="0"/>
    <x v="1"/>
  </r>
  <r>
    <n v="31"/>
    <x v="5"/>
    <s v="Mapa"/>
    <s v="MF-JH-0033"/>
    <s v="Soporte / Spring ERP / Gestión de Contratos / Registro de Contratos de proveedores"/>
    <s v="Infraestructura"/>
    <s v="Habilitación de infraestructura"/>
    <s v="Habilitar la infraestructura AWS"/>
    <s v="Técnica"/>
    <s v="Alta"/>
    <d v="2026-05-15T00:00:00"/>
    <d v="1899-12-30T00:00:00"/>
    <d v="2026-05-15T00:00:00"/>
    <n v="0"/>
    <s v="Hector G."/>
    <b v="0"/>
    <x v="2"/>
    <s v="Soporte"/>
    <n v="0"/>
    <x v="1"/>
  </r>
  <r>
    <n v="32"/>
    <x v="5"/>
    <s v="Mapa"/>
    <s v="MF-JH-0034"/>
    <s v="Soporte / Spring ERP / Gestión de Contratos / Registro de adendas"/>
    <s v="Infraestructura"/>
    <s v="Habilitación de infraestructura"/>
    <s v="Habilitar la infraestructura AWS"/>
    <s v="Técnica"/>
    <s v="Alta"/>
    <d v="2026-05-15T00:00:00"/>
    <d v="1899-12-30T00:00:00"/>
    <d v="2026-05-15T00:00:00"/>
    <n v="0"/>
    <s v="Hector G."/>
    <b v="0"/>
    <x v="2"/>
    <s v="Soporte"/>
    <n v="0"/>
    <x v="1"/>
  </r>
  <r>
    <n v="33"/>
    <x v="5"/>
    <s v="Mapa"/>
    <s v="MF-JH-0035"/>
    <s v="Soporte / Spring ERP / Gestión de Contratos / Actualización de saldos"/>
    <s v="Infraestructura"/>
    <s v="Habilitación de infraestructura"/>
    <s v="Habilitar la infraestructura AWS"/>
    <s v="Técnica"/>
    <s v="Alta"/>
    <d v="2026-05-15T00:00:00"/>
    <d v="1899-12-30T00:00:00"/>
    <d v="2026-05-15T00:00:00"/>
    <n v="0"/>
    <s v="Hector G."/>
    <b v="0"/>
    <x v="2"/>
    <s v="Soporte"/>
    <n v="0"/>
    <x v="1"/>
  </r>
  <r>
    <n v="34"/>
    <x v="5"/>
    <s v="Mapa"/>
    <s v="MF-JH-0036"/>
    <s v="Soporte / Spring ERP / Pago de Obligaciones / Pagos de servicios públicos (agua, luz, etc)"/>
    <s v="Infraestructura"/>
    <s v="Habilitación de infraestructura"/>
    <s v="Habilitar la infraestructura AWS"/>
    <s v="Técnica"/>
    <s v="Alta"/>
    <d v="2026-05-15T00:00:00"/>
    <d v="1899-12-30T00:00:00"/>
    <d v="2026-05-15T00:00:00"/>
    <n v="0"/>
    <s v="Hector G."/>
    <b v="0"/>
    <x v="2"/>
    <s v="Soporte"/>
    <n v="0"/>
    <x v="1"/>
  </r>
  <r>
    <n v="35"/>
    <x v="5"/>
    <s v="Mapa"/>
    <s v="MF-JH-0037"/>
    <s v="Soporte / Spring ERP / Pago de Obligaciones / Pagos de servicios públicos (agua, luz, etc)"/>
    <s v="Infraestructura"/>
    <s v="Habilitación de infraestructura"/>
    <s v="Habilitar la infraestructura AWS"/>
    <s v="Técnica"/>
    <s v="Alta"/>
    <d v="2026-05-15T00:00:00"/>
    <d v="1899-12-30T00:00:00"/>
    <d v="2026-05-15T00:00:00"/>
    <n v="0"/>
    <s v="Hector G."/>
    <b v="0"/>
    <x v="2"/>
    <s v="Soporte"/>
    <n v="0"/>
    <x v="1"/>
  </r>
  <r>
    <n v="36"/>
    <x v="5"/>
    <s v="Mapa"/>
    <s v="MF-JH-0002"/>
    <s v="Soporte / Spring ERP / Pago de Obligaciones / Habilitación de plantilla Telebanking"/>
    <s v="Infraestructura"/>
    <s v="Habilitación de infraestructura"/>
    <s v="Habilitar la infraestructura AWS"/>
    <s v="Técnica"/>
    <s v="Alta"/>
    <d v="2026-05-15T00:00:00"/>
    <d v="1899-12-30T00:00:00"/>
    <d v="2026-05-15T00:00:00"/>
    <n v="0"/>
    <s v="Hector G."/>
    <b v="0"/>
    <x v="2"/>
    <s v="Soporte"/>
    <n v="0"/>
    <x v="1"/>
  </r>
  <r>
    <n v="37"/>
    <x v="5"/>
    <s v="Mapa"/>
    <s v="MF-JH-0003"/>
    <s v="Soporte / Spring ERP / Pago de Obligaciones / Habilitación de plantilla SUNAT"/>
    <s v="Infraestructura"/>
    <s v="Habilitación de infraestructura"/>
    <s v="Habilitar la infraestructura AWS"/>
    <s v="Técnica"/>
    <s v="Alta"/>
    <d v="2026-05-15T00:00:00"/>
    <d v="1899-12-30T00:00:00"/>
    <d v="2026-05-15T00:00:00"/>
    <n v="0"/>
    <s v="Hector G."/>
    <b v="0"/>
    <x v="2"/>
    <s v="Soporte"/>
    <n v="0"/>
    <x v="1"/>
  </r>
  <r>
    <n v="38"/>
    <x v="5"/>
    <s v="Mapa"/>
    <s v="MF-JH-0004"/>
    <s v="Soporte / Spring ERP / Pago de Obligaciones / Habilitación de Sincronización de Empleados Adryan"/>
    <s v="Infraestructura"/>
    <s v="Habilitación de infraestructura"/>
    <s v="Habilitar la infraestructura AWS"/>
    <s v="Técnica"/>
    <s v="Alta"/>
    <d v="2026-05-15T00:00:00"/>
    <d v="1899-12-30T00:00:00"/>
    <d v="2026-05-15T00:00:00"/>
    <n v="0"/>
    <s v="Hector G."/>
    <b v="0"/>
    <x v="2"/>
    <s v="Soporte"/>
    <n v="0"/>
    <x v="1"/>
  </r>
  <r>
    <n v="39"/>
    <x v="5"/>
    <s v="Mapa"/>
    <s v="MF-JH-0005"/>
    <s v="Soporte / Spring ERP / Gestión Contable / Habilitación de Asientos Contables con el Core"/>
    <s v="Infraestructura"/>
    <s v="Habilitación de infraestructura"/>
    <s v="Habilitar la infraestructura AWS"/>
    <s v="Técnica"/>
    <s v="Alta"/>
    <d v="2026-05-15T00:00:00"/>
    <d v="1899-12-30T00:00:00"/>
    <d v="2026-05-15T00:00:00"/>
    <n v="0"/>
    <s v="Hector G."/>
    <b v="0"/>
    <x v="2"/>
    <s v="Soporte"/>
    <n v="0"/>
    <x v="1"/>
  </r>
  <r>
    <n v="40"/>
    <x v="5"/>
    <s v="Mapa"/>
    <s v="MF-JH-0038"/>
    <s v="Soporte / Spring ERP / Pago de Obligaciones / Cuentas por pagar/cobrar"/>
    <s v="Infraestructura"/>
    <s v="Habilitación de infraestructura"/>
    <s v="Habilitar la infraestructura AWS"/>
    <s v="Técnica"/>
    <s v="Alta"/>
    <d v="2026-05-15T00:00:00"/>
    <d v="1899-12-30T00:00:00"/>
    <d v="2026-05-15T00:00:00"/>
    <n v="0"/>
    <s v="Hector G."/>
    <b v="0"/>
    <x v="2"/>
    <s v="Soporte"/>
    <n v="0"/>
    <x v="1"/>
  </r>
  <r>
    <n v="41"/>
    <x v="5"/>
    <s v="Mapa"/>
    <s v="MF-JH-0039"/>
    <s v="Soporte / Spring ERP / Gestión de activos / Alta y Baja de Activos fijos"/>
    <s v="Infraestructura"/>
    <s v="Habilitación de infraestructura"/>
    <s v="Habilitar la infraestructura AWS"/>
    <s v="Técnica"/>
    <s v="Alta"/>
    <d v="2026-05-15T00:00:00"/>
    <d v="1899-12-30T00:00:00"/>
    <d v="2026-05-15T00:00:00"/>
    <n v="0"/>
    <s v="Hector G."/>
    <b v="0"/>
    <x v="2"/>
    <s v="Soporte"/>
    <n v="0"/>
    <x v="1"/>
  </r>
  <r>
    <n v="42"/>
    <x v="5"/>
    <s v="Mapa"/>
    <s v="MF-JH-0040"/>
    <s v="Soporte / Spring ERP / Presupuesto / Control de Presupuesto"/>
    <s v="Infraestructura"/>
    <s v="Habilitación de infraestructura"/>
    <s v="Habilitar la infraestructura AWS"/>
    <s v="Técnica"/>
    <s v="Alta"/>
    <d v="2026-05-15T00:00:00"/>
    <d v="1899-12-30T00:00:00"/>
    <d v="2026-05-15T00:00:00"/>
    <n v="0"/>
    <s v="Hector G."/>
    <b v="0"/>
    <x v="2"/>
    <s v="Soporte"/>
    <n v="0"/>
    <x v="1"/>
  </r>
  <r>
    <n v="43"/>
    <x v="5"/>
    <s v="Mapa"/>
    <s v="MF-JH-0041"/>
    <s v="Soporte / Spring ERP / Presupuesto / Inicial de presupuesto anual"/>
    <s v="Infraestructura"/>
    <s v="Habilitación de infraestructura"/>
    <s v="Habilitar la infraestructura AWS"/>
    <s v="Técnica"/>
    <s v="Alta"/>
    <d v="2026-05-15T00:00:00"/>
    <d v="1899-12-30T00:00:00"/>
    <d v="2026-05-15T00:00:00"/>
    <n v="0"/>
    <s v="Hector G."/>
    <b v="0"/>
    <x v="2"/>
    <s v="Soporte"/>
    <n v="0"/>
    <x v="1"/>
  </r>
  <r>
    <n v="44"/>
    <x v="5"/>
    <s v="Mapa"/>
    <s v="MF-JH-0042"/>
    <s v="Soporte / Spring ERP / Pago de Obligaciones / Recepción de facturas"/>
    <s v="Infraestructura"/>
    <s v="Habilitación de infraestructura"/>
    <s v="Habilitar la infraestructura AWS"/>
    <s v="Técnica"/>
    <s v="Alta"/>
    <d v="2026-05-15T00:00:00"/>
    <d v="1899-12-30T00:00:00"/>
    <d v="2026-05-15T00:00:00"/>
    <n v="0"/>
    <s v="Hector G."/>
    <b v="0"/>
    <x v="2"/>
    <s v="Soporte"/>
    <n v="0"/>
    <x v="1"/>
  </r>
  <r>
    <n v="45"/>
    <x v="5"/>
    <s v="Mapa"/>
    <s v="MF-JH-0043"/>
    <s v="Soporte / Spring ERP / Gestión de Contratos / Registro de Contratos de proveedores"/>
    <s v="Infraestructura"/>
    <s v="Habilitación de infraestructura"/>
    <s v="Habilitar la infraestructura AWS"/>
    <s v="Técnica"/>
    <s v="Alta"/>
    <d v="2026-05-15T00:00:00"/>
    <d v="1899-12-30T00:00:00"/>
    <d v="2026-05-15T00:00:00"/>
    <n v="0"/>
    <s v="Hector G."/>
    <b v="0"/>
    <x v="2"/>
    <s v="Soporte"/>
    <n v="0"/>
    <x v="1"/>
  </r>
  <r>
    <n v="46"/>
    <x v="5"/>
    <s v="Mapa"/>
    <s v="MF-JH-0044"/>
    <s v="Soporte / Spring ERP / Pago de Obligaciones / Pago a Proveedores"/>
    <s v="Infraestructura"/>
    <s v="Habilitación de infraestructura"/>
    <s v="Habilitar la infraestructura AWS"/>
    <s v="Técnica"/>
    <s v="Alta"/>
    <d v="2026-05-15T00:00:00"/>
    <d v="1899-12-30T00:00:00"/>
    <d v="2026-05-15T00:00:00"/>
    <n v="0"/>
    <s v="Hector G."/>
    <b v="0"/>
    <x v="2"/>
    <s v="Soporte"/>
    <n v="0"/>
    <x v="1"/>
  </r>
  <r>
    <n v="47"/>
    <x v="5"/>
    <s v="Mapa"/>
    <s v="MF-JH-0045"/>
    <s v="Soporte / Spring ERP / Pago de Obligaciones / Aprobación de facturas"/>
    <s v="Infraestructura"/>
    <s v="Habilitación de infraestructura"/>
    <s v="Habilitar la infraestructura AWS"/>
    <s v="Técnica"/>
    <s v="Alta"/>
    <d v="2026-05-15T00:00:00"/>
    <d v="1899-12-30T00:00:00"/>
    <d v="2026-05-15T00:00:00"/>
    <n v="0"/>
    <s v="Hector G."/>
    <b v="0"/>
    <x v="2"/>
    <s v="Soporte"/>
    <n v="0"/>
    <x v="1"/>
  </r>
  <r>
    <n v="48"/>
    <x v="5"/>
    <s v="Mapa"/>
    <s v="MF-JH-0046"/>
    <s v="Soporte / Spring ERP / Pago de Obligaciones / Pago de tributo e impuestos"/>
    <s v="Infraestructura"/>
    <s v="Habilitación de infraestructura"/>
    <s v="Habilitar la infraestructura AWS"/>
    <s v="Técnica"/>
    <s v="Alta"/>
    <d v="2026-05-15T00:00:00"/>
    <d v="1899-12-30T00:00:00"/>
    <d v="2026-05-15T00:00:00"/>
    <n v="0"/>
    <s v="Hector G."/>
    <b v="0"/>
    <x v="2"/>
    <s v="Soporte"/>
    <n v="0"/>
    <x v="1"/>
  </r>
  <r>
    <n v="49"/>
    <x v="5"/>
    <s v="Mapa"/>
    <s v="MF-JH-0047"/>
    <s v="Soporte / Spring ERP / Gestión Contable / Generación de Asientos Contables"/>
    <s v="Infraestructura"/>
    <s v="Habilitación de infraestructura"/>
    <s v="Habilitar la infraestructura AWS"/>
    <s v="Técnica"/>
    <s v="Alta"/>
    <d v="2026-05-15T00:00:00"/>
    <d v="1899-12-30T00:00:00"/>
    <d v="2026-05-15T00:00:00"/>
    <n v="0"/>
    <s v="Hector G."/>
    <b v="0"/>
    <x v="2"/>
    <s v="Soporte"/>
    <n v="0"/>
    <x v="1"/>
  </r>
  <r>
    <n v="50"/>
    <x v="5"/>
    <s v="Mapa"/>
    <s v="MF-JH-0048"/>
    <s v="Soporte / Spring ERP / Gestión Contable / Cierre Contable"/>
    <s v="Infraestructura"/>
    <s v="Habilitación de infraestructura"/>
    <s v="Habilitar la infraestructura AWS"/>
    <s v="Técnica"/>
    <s v="Alta"/>
    <d v="2026-05-15T00:00:00"/>
    <d v="1899-12-30T00:00:00"/>
    <d v="2026-05-15T00:00:00"/>
    <n v="0"/>
    <s v="Hector G."/>
    <b v="0"/>
    <x v="2"/>
    <s v="Soporte"/>
    <n v="0"/>
    <x v="1"/>
  </r>
  <r>
    <n v="51"/>
    <x v="5"/>
    <s v="Mapa"/>
    <s v="MF-JH-0049"/>
    <s v="Soporte / Spring ERP / Reportes / Reportes y Consultas"/>
    <s v="Infraestructura"/>
    <s v="Habilitación de infraestructura"/>
    <s v="Habilitar la infraestructura AWS"/>
    <s v="Técnica"/>
    <s v="Alta"/>
    <d v="2026-05-15T00:00:00"/>
    <d v="1899-12-30T00:00:00"/>
    <d v="2026-05-15T00:00:00"/>
    <n v="0"/>
    <s v="Hector G."/>
    <b v="0"/>
    <x v="2"/>
    <s v="Soporte"/>
    <n v="0"/>
    <x v="1"/>
  </r>
  <r>
    <n v="53"/>
    <x v="5"/>
    <s v="Mapa"/>
    <s v="MF-JH-0026"/>
    <s v="Soporte / Modellica (Motor de Cobranzas)"/>
    <s v="Cards y Payments"/>
    <s v="Definición de archivos y campos de Izipay para TC"/>
    <s v="Definición de archivos y campos de Izipay para TC"/>
    <s v="Técnica"/>
    <s v="Alta"/>
    <d v="2026-03-27T00:00:00"/>
    <d v="1899-12-30T00:00:00"/>
    <s v="TBD"/>
    <n v="0"/>
    <s v="Freddy C."/>
    <b v="1"/>
    <x v="2"/>
    <s v="Soporte"/>
    <n v="0"/>
    <x v="0"/>
  </r>
  <r>
    <n v="54"/>
    <x v="5"/>
    <s v="Mapa"/>
    <s v="MF-JH-0007"/>
    <s v="Soporte / Consulta en Línea (RENIEC) / Consulta de la Ficha RENIEC"/>
    <s v="Infraestructura"/>
    <s v="Habilitación de infraestructura"/>
    <s v="Habilitación de infraestructura en OnPremise y AWS"/>
    <s v="Técnica"/>
    <s v="Alta"/>
    <d v="2026-03-30T00:00:00"/>
    <d v="2026-04-20T00:00:00"/>
    <d v="2026-04-30T00:00:00"/>
    <n v="0"/>
    <s v="Hector G."/>
    <b v="1"/>
    <x v="3"/>
    <s v="Soporte"/>
    <n v="0"/>
    <x v="0"/>
  </r>
  <r>
    <n v="55"/>
    <x v="5"/>
    <s v="Mapa"/>
    <s v="MF-JH-0007"/>
    <s v="Soporte / Consulta en Línea (RENIEC) / Consulta de la Ficha RENIEC"/>
    <s v="Proveedor Synopsis"/>
    <s v="Despliegue de la Solución"/>
    <s v="Despliegue de Solución de Synopsis en OnPremise y AWS"/>
    <s v="Técnica"/>
    <s v="Alta"/>
    <d v="2026-04-30T00:00:00"/>
    <d v="2026-04-30T00:00:00"/>
    <d v="2026-05-29T00:00:00"/>
    <n v="0"/>
    <s v="Jaime H."/>
    <b v="1"/>
    <x v="2"/>
    <s v="Soporte"/>
    <n v="0"/>
    <x v="0"/>
  </r>
  <r>
    <n v="56"/>
    <x v="5"/>
    <s v="Mapa"/>
    <s v="MF-JH-0025"/>
    <s v="Soporte / Consulta en Línea (RENIEC) / Reporte diario de todas las consultas de la Ficha RENIEC por usuario"/>
    <s v="Proveedor Synopsis"/>
    <s v="Despliegue de la Solución"/>
    <s v="Despliegue de Solución de Synopsis en OnPremise y AWS"/>
    <s v="Técnica"/>
    <s v="Alta"/>
    <d v="2026-04-30T00:00:00"/>
    <d v="2026-04-30T00:00:00"/>
    <d v="2026-05-29T00:00:00"/>
    <n v="0"/>
    <s v="Jaime H."/>
    <b v="1"/>
    <x v="2"/>
    <s v="Soporte"/>
    <n v="0"/>
    <x v="0"/>
  </r>
  <r>
    <n v="57"/>
    <x v="5"/>
    <s v="Mapa"/>
    <s v="MF-JH-0007"/>
    <s v="Soporte / Consulta en Línea (RENIEC) / Consulta de la Ficha RENIEC"/>
    <s v="RENIEC"/>
    <s v="Habilitación de ambiente Pruebas"/>
    <s v="Habilitación de ambiente de Pruebas"/>
    <s v="Técnica"/>
    <s v="Alta"/>
    <d v="2026-04-30T00:00:00"/>
    <d v="1899-12-30T00:00:00"/>
    <d v="2026-05-29T00:00:00"/>
    <n v="0"/>
    <s v="RENIEC"/>
    <b v="1"/>
    <x v="0"/>
    <s v="Soporte"/>
    <n v="0"/>
    <x v="0"/>
  </r>
  <r>
    <n v="58"/>
    <x v="5"/>
    <s v="Mapa"/>
    <s v="MF-JH-0025"/>
    <s v="Soporte / Consulta en Línea (RENIEC) / Reporte diario de todas las consultas de la Ficha RENIEC por usuario"/>
    <s v="RENIEC"/>
    <s v="Habilitación de ambiente Pruebas"/>
    <s v="Habilitación de ambiente de Pruebas"/>
    <s v="Técnica"/>
    <s v="Alta"/>
    <d v="2026-04-30T00:00:00"/>
    <d v="1899-12-30T00:00:00"/>
    <d v="2026-05-29T00:00:00"/>
    <n v="0"/>
    <s v="RENIEC"/>
    <b v="1"/>
    <x v="0"/>
    <s v="Soporte"/>
    <n v="0"/>
    <x v="0"/>
  </r>
  <r>
    <n v="59"/>
    <x v="5"/>
    <s v="Mapa"/>
    <s v="MF-JH-0007"/>
    <s v="Soporte / Consulta en Línea (RENIEC)"/>
    <s v="Bantotal"/>
    <s v="Habilitación Pantalla"/>
    <s v="Habilitación de pantalla de consulta dentro de Bantotal Web"/>
    <s v="Técnica"/>
    <s v="Alta"/>
    <d v="2026-04-30T00:00:00"/>
    <d v="1899-12-30T00:00:00"/>
    <d v="1899-12-30T00:00:00"/>
    <n v="0"/>
    <s v="Julio P."/>
    <b v="1"/>
    <x v="2"/>
    <s v="Soporte"/>
    <s v="Pendiente Rpta Bantotal"/>
    <x v="0"/>
  </r>
  <r>
    <n v="60"/>
    <x v="5"/>
    <s v="Mapa"/>
    <s v="M-X"/>
    <s v="Soporte / Modellica (Admisión Crediticia)"/>
    <s v="Data"/>
    <s v="Disponibilización de información"/>
    <s v="Tablas de información de RCC, Core (mora) y Riesgos"/>
    <s v="Técnica"/>
    <s v="Alta"/>
    <d v="2026-04-30T00:00:00"/>
    <d v="1899-12-30T00:00:00"/>
    <s v="TBD"/>
    <n v="0"/>
    <s v="Jean A."/>
    <b v="1"/>
    <x v="2"/>
    <s v="Soporte"/>
    <s v="Pendiente acordar fecha"/>
    <x v="0"/>
  </r>
  <r>
    <n v="61"/>
    <x v="5"/>
    <s v="Mapa"/>
    <s v="M-X"/>
    <s v="Soporte / Modellica (Admisión Crediticia)"/>
    <s v="Integración"/>
    <s v="Integracion de MS"/>
    <s v="Publicar APIs"/>
    <s v="Técnica"/>
    <s v="Alta"/>
    <d v="2026-04-30T00:00:00"/>
    <d v="1899-12-30T00:00:00"/>
    <d v="2026-04-30T00:00:00"/>
    <n v="0"/>
    <s v="Jorge P."/>
    <b v="1"/>
    <x v="3"/>
    <s v="Soporte"/>
    <n v="0"/>
    <x v="0"/>
  </r>
  <r>
    <n v="62"/>
    <x v="5"/>
    <s v="Mapa"/>
    <s v="MF-JH-0025"/>
    <s v="Soporte / Consulta en Línea (RENIEC) / Reporte diario de todas las consultas de la Ficha RENIEC por usuario"/>
    <s v="Infraestructura"/>
    <s v="Habilitación de infraestructura"/>
    <s v="Habilitación de infraestructura en OnPremise y AWS"/>
    <s v="Técnica"/>
    <s v="Alta"/>
    <d v="2026-03-30T00:00:00"/>
    <d v="2026-04-20T00:00:00"/>
    <d v="2026-04-30T00:00:00"/>
    <n v="0"/>
    <s v="Hector G."/>
    <b v="1"/>
    <x v="3"/>
    <s v="Soporte"/>
    <n v="0"/>
    <x v="0"/>
  </r>
  <r>
    <n v="63"/>
    <x v="5"/>
    <s v="Mapa"/>
    <s v="M-X"/>
    <s v="Soporte / KYC"/>
    <s v="Integración"/>
    <s v="Integracion de MS"/>
    <s v="Integrar microservicios con canonicas"/>
    <s v="Técnica"/>
    <s v="Alta"/>
    <d v="2026-04-06T00:00:00"/>
    <d v="2026-04-17T00:00:00"/>
    <d v="2026-04-06T00:00:00"/>
    <n v="0"/>
    <s v="Jorge P."/>
    <b v="1"/>
    <x v="3"/>
    <s v="Soporte"/>
    <n v="0"/>
    <x v="0"/>
  </r>
  <r>
    <n v="64"/>
    <x v="5"/>
    <s v="Mapa"/>
    <s v="M-X"/>
    <s v="Soporte / Modellica (Admisión Crediticia)"/>
    <s v="Integración"/>
    <s v="Payload de respuesta del WatchList"/>
    <s v="Agregar campos adicionales para la Mesa de Conseciones y Modellica (Admisión Crediticia) cuando se hace match con alguna lista"/>
    <s v="Técnica"/>
    <s v="Alta"/>
    <d v="2026-04-30T00:00:00"/>
    <d v="1899-12-30T00:00:00"/>
    <d v="1899-12-30T00:00:00"/>
    <n v="0"/>
    <s v="Jorge P."/>
    <b v="1"/>
    <x v="3"/>
    <s v="Soporte"/>
    <s v="Pendiente acordar fecha"/>
    <x v="0"/>
  </r>
  <r>
    <n v="65"/>
    <x v="5"/>
    <s v="Mapa"/>
    <s v="MF-JH-0026"/>
    <s v="Soporte / Modellica (Motor de Cobranzas)"/>
    <s v="Data"/>
    <s v="Disponibilización de archivos"/>
    <s v="Archivos de información del Core, TC, Riesgos y CyberFinancial"/>
    <s v="Técnica"/>
    <s v="Alta"/>
    <d v="2026-04-30T00:00:00"/>
    <d v="1899-12-30T00:00:00"/>
    <d v="2026-09-28T00:00:00"/>
    <n v="0"/>
    <s v="Jean A."/>
    <b v="1"/>
    <x v="2"/>
    <s v="Soporte"/>
    <n v="0"/>
    <x v="0"/>
  </r>
  <r>
    <n v="66"/>
    <x v="5"/>
    <s v="Mapa"/>
    <s v="MF-JH-0008"/>
    <s v="Soporte / Adryan Web / Estructura y Organización / Módulo de Organización (Unidades, Centros de Costo, Ubicaciones)"/>
    <s v="Comunication Manager"/>
    <s v="Habilitación de interfaz de correos"/>
    <s v="Habilitar el envio de correos internos y/o externos"/>
    <s v="Técnica"/>
    <s v="Alta"/>
    <d v="2026-05-15T00:00:00"/>
    <d v="1899-12-30T00:00:00"/>
    <s v="TBD"/>
    <n v="0"/>
    <s v="Willy V"/>
    <b v="0"/>
    <x v="1"/>
    <s v="Soporte"/>
    <n v="0"/>
    <x v="1"/>
  </r>
  <r>
    <n v="67"/>
    <x v="5"/>
    <s v="Mapa"/>
    <s v="MF-JH-0009"/>
    <s v="Soporte / Adryan Web / Estructura y Organización / Módulo de Gestión de Puestos"/>
    <s v="Comunication Manager"/>
    <s v="Habilitación de interfaz de correos"/>
    <s v="Habilitar el envio de correos internos y/o externos"/>
    <s v="Técnica"/>
    <s v="Alta"/>
    <d v="2026-05-15T00:00:00"/>
    <d v="1899-12-30T00:00:00"/>
    <s v="TBD"/>
    <n v="0"/>
    <s v="Willy V"/>
    <b v="0"/>
    <x v="1"/>
    <s v="Soporte"/>
    <n v="0"/>
    <x v="1"/>
  </r>
  <r>
    <n v="68"/>
    <x v="5"/>
    <s v="Mapa"/>
    <s v="MF-JH-0010"/>
    <s v="Soporte / Adryan Web / Gestión de Personal / Módulo de Administración de Personal (Datos, Contratos - 20 modelos)"/>
    <s v="Comunication Manager"/>
    <s v="Habilitación de interfaz de correos"/>
    <s v="Habilitar el envio de correos internos y/o externos"/>
    <s v="Técnica"/>
    <s v="Alta"/>
    <d v="2026-05-15T00:00:00"/>
    <d v="1899-12-30T00:00:00"/>
    <s v="TBD"/>
    <n v="0"/>
    <s v="Willy V"/>
    <b v="0"/>
    <x v="1"/>
    <s v="Soporte"/>
    <n v="0"/>
    <x v="1"/>
  </r>
  <r>
    <n v="69"/>
    <x v="5"/>
    <s v="Mapa"/>
    <s v="MF-JH-0011"/>
    <s v="Soporte / Adryan Web / Gestión de Personal / Módulo de Movimiento de Personal (Cambios, Cesaciones)"/>
    <s v="Comunication Manager"/>
    <s v="Habilitación de interfaz de correos"/>
    <s v="Habilitar el envio de correos internos y/o externos"/>
    <s v="Técnica"/>
    <s v="Alta"/>
    <d v="2026-05-15T00:00:00"/>
    <d v="1899-12-30T00:00:00"/>
    <s v="TBD"/>
    <n v="0"/>
    <s v="Willy V"/>
    <b v="0"/>
    <x v="1"/>
    <s v="Soporte"/>
    <n v="0"/>
    <x v="1"/>
  </r>
  <r>
    <n v="70"/>
    <x v="5"/>
    <s v="Mapa"/>
    <s v="MF-JH-0012"/>
    <s v="Soporte / Adryan Web / Gestión de Personal / Módulo de Actualización de Datos"/>
    <s v="Comunication Manager"/>
    <s v="Habilitación de interfaz de correos"/>
    <s v="Habilitar el envio de correos internos y/o externos"/>
    <s v="Técnica"/>
    <s v="Alta"/>
    <d v="2026-05-15T00:00:00"/>
    <d v="1899-12-30T00:00:00"/>
    <s v="TBD"/>
    <n v="0"/>
    <s v="Willy V"/>
    <b v="0"/>
    <x v="1"/>
    <s v="Soporte"/>
    <n v="0"/>
    <x v="1"/>
  </r>
  <r>
    <n v="71"/>
    <x v="5"/>
    <s v="Mapa"/>
    <s v="MF-JH-0013"/>
    <s v="Soporte / Adryan Web / Control de Asistencia / Módulo de Asistencia (Turnos, Permisos, Licencias)"/>
    <s v="Comunication Manager"/>
    <s v="Habilitación de interfaz de correos"/>
    <s v="Habilitar el envio de correos internos y/o externos"/>
    <s v="Técnica"/>
    <s v="Alta"/>
    <d v="2026-05-15T00:00:00"/>
    <d v="1899-12-30T00:00:00"/>
    <s v="TBD"/>
    <n v="0"/>
    <s v="Willy V"/>
    <b v="0"/>
    <x v="1"/>
    <s v="Soporte"/>
    <n v="0"/>
    <x v="1"/>
  </r>
  <r>
    <n v="72"/>
    <x v="5"/>
    <s v="Mapa"/>
    <s v="MF-JH-0014"/>
    <s v="Soporte / Adryan Web / Control de Asistencia / Reportes de ausencias, tardanzas, horas extras"/>
    <s v="Comunication Manager"/>
    <s v="Habilitación de interfaz de correos"/>
    <s v="Habilitar el envio de correos internos y/o externos"/>
    <s v="Técnica"/>
    <s v="Alta"/>
    <d v="2026-05-15T00:00:00"/>
    <d v="1899-12-30T00:00:00"/>
    <s v="TBD"/>
    <n v="0"/>
    <s v="Willy V"/>
    <b v="0"/>
    <x v="1"/>
    <s v="Soporte"/>
    <n v="0"/>
    <x v="1"/>
  </r>
  <r>
    <n v="73"/>
    <x v="5"/>
    <s v="Mapa"/>
    <s v="MF-JH-0015"/>
    <s v="Soporte / Adryan Web / Gestión de Vacaciones / Módulo de Solicitud de Vacaciones (con notificaciones)"/>
    <s v="Comunication Manager"/>
    <s v="Habilitación de interfaz de correos"/>
    <s v="Habilitar el envio de correos internos y/o externos"/>
    <s v="Técnica"/>
    <s v="Alta"/>
    <d v="2026-05-15T00:00:00"/>
    <d v="1899-12-30T00:00:00"/>
    <s v="TBD"/>
    <n v="0"/>
    <s v="Willy V"/>
    <b v="0"/>
    <x v="1"/>
    <s v="Soporte"/>
    <n v="0"/>
    <x v="1"/>
  </r>
  <r>
    <n v="74"/>
    <x v="5"/>
    <s v="Mapa"/>
    <s v="MF-JH-0016"/>
    <s v="Soporte / Adryan Web / Gestión de Vacaciones / Reportes de vacaciones gozadas y pendientes"/>
    <s v="Comunication Manager"/>
    <s v="Habilitación de interfaz de correos"/>
    <s v="Habilitar el envio de correos internos y/o externos"/>
    <s v="Técnica"/>
    <s v="Alta"/>
    <d v="2026-05-15T00:00:00"/>
    <d v="1899-12-30T00:00:00"/>
    <s v="TBD"/>
    <n v="0"/>
    <s v="Willy V"/>
    <b v="0"/>
    <x v="1"/>
    <s v="Soporte"/>
    <n v="0"/>
    <x v="1"/>
  </r>
  <r>
    <n v="75"/>
    <x v="5"/>
    <s v="Mapa"/>
    <s v="MF-JH-0017"/>
    <s v="Soporte / Adryan Web / Compensación y Nómina / Módulo de Administración de Planillas (Conceptos, Cálculos)"/>
    <s v="Comunication Manager"/>
    <s v="Habilitación de interfaz de correos"/>
    <s v="Habilitar el envio de correos internos y/o externos"/>
    <s v="Técnica"/>
    <s v="Alta"/>
    <d v="2026-05-15T00:00:00"/>
    <d v="1899-12-30T00:00:00"/>
    <s v="TBD"/>
    <n v="0"/>
    <s v="Willy V"/>
    <b v="0"/>
    <x v="1"/>
    <s v="Soporte"/>
    <n v="0"/>
    <x v="1"/>
  </r>
  <r>
    <n v="76"/>
    <x v="5"/>
    <s v="Mapa"/>
    <s v="MF-JH-0018"/>
    <s v="Soporte / Adryan Web / Compensación y Nómina / Cálculo de CTS, Utilidades, Vacaciones"/>
    <s v="Comunication Manager"/>
    <s v="Habilitación de interfaz de correos"/>
    <s v="Habilitar el envio de correos internos y/o externos"/>
    <s v="Técnica"/>
    <s v="Alta"/>
    <d v="2026-05-15T00:00:00"/>
    <d v="1899-12-30T00:00:00"/>
    <s v="TBD"/>
    <n v="0"/>
    <s v="Willy V"/>
    <b v="0"/>
    <x v="1"/>
    <s v="Soporte"/>
    <n v="0"/>
    <x v="1"/>
  </r>
  <r>
    <n v="77"/>
    <x v="5"/>
    <s v="Mapa"/>
    <s v="MF-JH-0019"/>
    <s v="Soporte / Adryan Web / Compensación y Nómina / Liquidación masiva de cesados"/>
    <s v="Comunication Manager"/>
    <s v="Habilitación de interfaz de correos"/>
    <s v="Habilitar el envio de correos internos y/o externos"/>
    <s v="Técnica"/>
    <s v="Alta"/>
    <d v="2026-05-15T00:00:00"/>
    <d v="1899-12-30T00:00:00"/>
    <s v="TBD"/>
    <n v="0"/>
    <s v="Willy V"/>
    <b v="0"/>
    <x v="1"/>
    <s v="Soporte"/>
    <n v="0"/>
    <x v="1"/>
  </r>
  <r>
    <n v="78"/>
    <x v="5"/>
    <s v="Mapa"/>
    <s v="MF-JH-0021"/>
    <s v="Soporte / Adryan Web / Compensación y Nómina / Envío de asientos a Bantotal (PLAME, T-Registro, INEI, SBS)"/>
    <s v="Comunication Manager"/>
    <s v="Habilitación de interfaz de correos"/>
    <s v="Habilitar el envio de correos internos y/o externos"/>
    <s v="Técnica"/>
    <s v="Alta"/>
    <d v="2026-05-15T00:00:00"/>
    <d v="1899-12-30T00:00:00"/>
    <s v="TBD"/>
    <n v="0"/>
    <s v="Willy V"/>
    <b v="0"/>
    <x v="1"/>
    <s v="Soporte"/>
    <n v="0"/>
    <x v="1"/>
  </r>
  <r>
    <n v="79"/>
    <x v="5"/>
    <s v="Mapa"/>
    <s v="MF-JH-0022"/>
    <s v="Soporte / Adryan Web / Gestión de Contratos / Módulo de Renovación de Contratos (20 modelos personalizados)"/>
    <s v="Comunication Manager"/>
    <s v="Habilitación de interfaz de correos"/>
    <s v="Habilitar el envio de correos internos y/o externos"/>
    <s v="Técnica"/>
    <s v="Alta"/>
    <d v="2026-05-15T00:00:00"/>
    <d v="1899-12-30T00:00:00"/>
    <s v="TBD"/>
    <n v="0"/>
    <s v="Willy V"/>
    <b v="0"/>
    <x v="1"/>
    <s v="Soporte"/>
    <n v="0"/>
    <x v="1"/>
  </r>
  <r>
    <n v="80"/>
    <x v="5"/>
    <s v="Mapa"/>
    <s v="MF-JH-0023"/>
    <s v="Soporte / Adryan Web / Documentos y Autoservicio / Módulo de Autoservicio (Boletas, CTS, Utilidades, Quinta, Certificados)"/>
    <s v="Comunication Manager"/>
    <s v="Habilitación de interfaz de correos"/>
    <s v="Habilitar el envio de correos internos y/o externos"/>
    <s v="Técnica"/>
    <s v="Alta"/>
    <d v="2026-05-15T00:00:00"/>
    <d v="1899-12-30T00:00:00"/>
    <s v="TBD"/>
    <n v="0"/>
    <s v="Willy V"/>
    <b v="0"/>
    <x v="1"/>
    <s v="Soporte"/>
    <n v="0"/>
    <x v="1"/>
  </r>
  <r>
    <n v="81"/>
    <x v="5"/>
    <s v="Mapa"/>
    <s v="MF-JH-0024"/>
    <s v="Soporte / Adryan Web / Documentos y Autoservicio / Módulo Generador de Reportes personalizados"/>
    <s v="Comunication Manager"/>
    <s v="Habilitación de interfaz de correos"/>
    <s v="Habilitar el envio de correos internos y/o externos"/>
    <s v="Técnica"/>
    <s v="Alta"/>
    <d v="2026-05-15T00:00:00"/>
    <d v="1899-12-30T00:00:00"/>
    <s v="TBD"/>
    <n v="0"/>
    <s v="Willy V"/>
    <b v="0"/>
    <x v="1"/>
    <s v="Soporte"/>
    <n v="0"/>
    <x v="1"/>
  </r>
  <r>
    <n v="82"/>
    <x v="5"/>
    <s v="Mapa"/>
    <s v="MF-JH-0001"/>
    <s v="Soporte / Adryan Web"/>
    <s v="Core"/>
    <s v="Definición de interfaces contables"/>
    <n v="0"/>
    <s v="Técnica"/>
    <s v="Alta"/>
    <d v="2026-05-15T00:00:00"/>
    <d v="1899-12-30T00:00:00"/>
    <d v="1899-12-30T00:00:00"/>
    <n v="0"/>
    <s v="Julio P."/>
    <b v="0"/>
    <x v="2"/>
    <s v="Soporte"/>
    <s v="Depende de sesiones con Prov.y Edwin P."/>
    <x v="1"/>
  </r>
  <r>
    <n v="83"/>
    <x v="5"/>
    <s v="Mapa"/>
    <s v="MF-JH-0027"/>
    <s v="Soporte / Monitor"/>
    <s v="Core "/>
    <s v="Proceso Batch"/>
    <s v="Generacion de interfaces ( cliente - producto - transsacciones)"/>
    <s v="Técnica"/>
    <s v="Baja"/>
    <d v="2026-04-15T00:00:00"/>
    <d v="1899-12-30T00:00:00"/>
    <s v="TBD"/>
    <n v="0"/>
    <s v="Julio P."/>
    <b v="1"/>
    <x v="2"/>
    <s v="Soporte"/>
    <n v="0"/>
    <x v="0"/>
  </r>
  <r>
    <n v="1"/>
    <x v="6"/>
    <n v="0"/>
    <n v="0"/>
    <s v="Data-Finanzas"/>
    <s v="Cards y Payments"/>
    <s v="Catálogo de Dominio"/>
    <s v="Maestro de equivalencias funcionales de los archivos administrativos proveídos por Izipay"/>
    <s v="Funcional"/>
    <s v="Alta"/>
    <d v="2026-03-15T00:00:00"/>
    <d v="1899-12-30T00:00:00"/>
    <d v="2026-03-31T00:00:00"/>
    <s v="Fredy C."/>
    <s v="Fredy C."/>
    <b v="1"/>
    <x v="3"/>
    <s v="Data-Finanzas"/>
    <n v="0"/>
    <x v="0"/>
  </r>
  <r>
    <n v="2"/>
    <x v="6"/>
    <n v="0"/>
    <n v="0"/>
    <s v="Data-Finanzas"/>
    <s v="Cards y Payments"/>
    <s v="Disponibilización de Data en Datalake"/>
    <s v="Se ejecuta proceso que envia todos los archivos adminstrativos desde SFTP de taerjetas hacia el Datalake (S3)"/>
    <s v="Técnica"/>
    <s v="Medio"/>
    <d v="2026-03-18T00:00:00"/>
    <d v="1899-12-30T00:00:00"/>
    <d v="2026-03-31T00:00:00"/>
    <s v="Julio P."/>
    <s v="Fredy C."/>
    <b v="1"/>
    <x v="3"/>
    <s v="Data-Finanzas"/>
    <n v="0"/>
    <x v="0"/>
  </r>
  <r>
    <n v="3"/>
    <x v="6"/>
    <n v="0"/>
    <n v="0"/>
    <s v="Data-Finanzas"/>
    <s v="Cards y Payments"/>
    <s v="Consultas técnicas MCP"/>
    <s v="Se consultará el mapeo entre los archivos administrativos y Tablas MCP"/>
    <s v="Técnica"/>
    <s v="Medio"/>
    <d v="2026-03-18T00:00:00"/>
    <d v="1899-12-30T00:00:00"/>
    <d v="2026-03-31T00:00:00"/>
    <s v="Sonia B."/>
    <s v="Fredy C."/>
    <b v="1"/>
    <x v="3"/>
    <s v="Data-Finanzas"/>
    <n v="0"/>
    <x v="0"/>
  </r>
  <r>
    <n v="4"/>
    <x v="6"/>
    <s v=" "/>
    <n v="0"/>
    <s v="Data-Finanzas"/>
    <s v="Core"/>
    <s v="Datos de Sistema de Originación"/>
    <s v="Brindar trama layout de datos y maestro de equivalencias funcionales"/>
    <s v="Técnica"/>
    <s v="Baja"/>
    <d v="2026-03-31T00:00:00"/>
    <d v="1899-12-30T00:00:00"/>
    <d v="1899-12-30T00:00:00"/>
    <s v="Sonia B."/>
    <s v="Julio P."/>
    <b v="1"/>
    <x v="1"/>
    <s v="Data-Finanzas"/>
    <n v="0"/>
    <x v="0"/>
  </r>
  <r>
    <n v="5"/>
    <x v="6"/>
    <s v=" "/>
    <n v="0"/>
    <s v="Data-Finanzas"/>
    <s v="Core"/>
    <s v="Datos de log de subcuentas"/>
    <s v="Brindar ejemplo de registro de tabla log de apertura de subcuentas de ahorro"/>
    <s v="Técnica"/>
    <s v="Alta"/>
    <d v="2026-03-16T00:00:00"/>
    <d v="1899-12-30T00:00:00"/>
    <d v="2026-03-16T00:00:00"/>
    <s v="Fredy C."/>
    <s v="Julio P."/>
    <b v="1"/>
    <x v="0"/>
    <s v="Data-Finanzas"/>
    <n v="0"/>
    <x v="0"/>
  </r>
  <r>
    <n v="6"/>
    <x v="6"/>
    <s v=" "/>
    <n v="0"/>
    <s v="Data-Finanzas"/>
    <s v="Core"/>
    <s v="Datos de seguro de préstamos"/>
    <s v="Brindar ejemplo de flujo de seguros obligatorios pagos en mas de una cuota"/>
    <s v="Técnica"/>
    <s v="Alta"/>
    <d v="2026-03-17T00:00:00"/>
    <d v="1899-12-30T00:00:00"/>
    <d v="2026-03-17T00:00:00"/>
    <s v="Sonia B."/>
    <s v="Julio P."/>
    <b v="1"/>
    <x v="3"/>
    <s v="Data-Finanzas"/>
    <n v="0"/>
    <x v="0"/>
  </r>
  <r>
    <n v="7"/>
    <x v="6"/>
    <s v=" "/>
    <n v="0"/>
    <s v="Data-Riesgos"/>
    <s v="Cards y Payments"/>
    <s v="Datos de Tarjetas  de credito , dias de mora  y transacciones ."/>
    <s v="Se requiere inforamcion de saldos . tartjetas dias de mora para recontrutir las tablas del MCP001 , MCP002 , MCP003 , MCP004 , MCP005"/>
    <s v="Técnica"/>
    <s v="Medio"/>
    <d v="2026-03-17T00:00:00"/>
    <d v="1899-12-30T00:00:00"/>
    <d v="1899-12-30T00:00:00"/>
    <s v="Julio P."/>
    <s v="Fredy C."/>
    <b v="1"/>
    <x v="3"/>
    <s v="Data-Riesgos"/>
    <n v="0"/>
    <x v="0"/>
  </r>
  <r>
    <n v="8"/>
    <x v="6"/>
    <n v="0"/>
    <n v="0"/>
    <s v="Data-I.C."/>
    <s v="Core"/>
    <s v="Modelo de datos del flujo completo de la venta"/>
    <s v="Se requiere información de los modelos de datos de solicitudes para la venta del módulo de teller."/>
    <s v="Técnica"/>
    <s v="Alta"/>
    <d v="2026-03-09T00:00:00"/>
    <d v="1899-12-30T00:00:00"/>
    <d v="1899-12-30T00:00:00"/>
    <n v="0"/>
    <s v="Julio P."/>
    <b v="1"/>
    <x v="3"/>
    <s v="Data-I.comercial"/>
    <n v="0"/>
    <x v="0"/>
  </r>
  <r>
    <n v="9"/>
    <x v="6"/>
    <n v="0"/>
    <n v="0"/>
    <s v="Data-Riesgos"/>
    <s v="Core"/>
    <s v="Flujo to be del proceso de Bases Negativas"/>
    <s v="Se requiere entender con el equipo de Core cual  sera el nuevo flujo de bases negaivas ya que el usuario responsable depende de ese proceso"/>
    <s v="Funcional"/>
    <s v="Alta"/>
    <d v="2026-02-02T00:00:00"/>
    <d v="1899-12-30T00:00:00"/>
    <d v="1899-12-30T00:00:00"/>
    <n v="0"/>
    <s v="Julio P."/>
    <b v="1"/>
    <x v="1"/>
    <s v="Data-Riesgos"/>
    <n v="0"/>
    <x v="0"/>
  </r>
  <r>
    <n v="10"/>
    <x v="6"/>
    <n v="0"/>
    <n v="0"/>
    <s v="Data-Finanzas"/>
    <s v="Core"/>
    <s v="Información de seguros optativos"/>
    <s v="Brindar información de seguros optativos con la información _x000a_de las primas pagas asi como las tablas de configuracion."/>
    <s v="Técnica"/>
    <s v="Media"/>
    <d v="2026-03-28T00:00:00"/>
    <d v="1899-12-30T00:00:00"/>
    <d v="2026-04-30T00:00:00"/>
    <n v="0"/>
    <s v="Julio P."/>
    <b v="1"/>
    <x v="3"/>
    <s v="Data-Finanzas"/>
    <n v="0"/>
    <x v="0"/>
  </r>
  <r>
    <n v="11"/>
    <x v="6"/>
    <n v="0"/>
    <n v="0"/>
    <s v="Data-Finanzas"/>
    <s v="Core"/>
    <s v="Información de castigados"/>
    <s v="Brindar la información necesaria para almacenar el nuevo _x000a_universo de castigados, con el fin de reemplazar tabla de trabajo _x000a_LD0D12. "/>
    <s v="Técnica"/>
    <s v="Media"/>
    <d v="2026-04-24T00:00:00"/>
    <d v="1899-12-30T00:00:00"/>
    <d v="2026-06-30T00:00:00"/>
    <n v="0"/>
    <s v="Julio P."/>
    <b v="1"/>
    <x v="1"/>
    <s v="Data-Finanzas"/>
    <n v="0"/>
    <x v="0"/>
  </r>
  <r>
    <n v="12"/>
    <x v="6"/>
    <n v="0"/>
    <n v="0"/>
    <s v="Data-Finanzas"/>
    <s v="Core"/>
    <s v="Información de refinanciados"/>
    <s v="Brindar la información necesaria para almacenar el nuevo _x000a_universo de castigados, con el fin de reemplazar tabla de trabajo _x000a_LRFD02."/>
    <s v="Técnica"/>
    <s v="Media"/>
    <d v="2026-04-24T00:00:00"/>
    <d v="1899-12-30T00:00:00"/>
    <d v="2026-06-30T00:00:00"/>
    <n v="0"/>
    <s v="Julio P."/>
    <b v="1"/>
    <x v="1"/>
    <s v="Data-Finanzas"/>
    <n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9EBCFD-2E0B-4D7A-8990-00B719F95CCC}" name="TablaDinámica1" cacheId="7"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95" firstHeaderRow="1" firstDataRow="1" firstDataCol="1" rowPageCount="1" colPageCount="1"/>
  <pivotFields count="16">
    <pivotField showAll="0"/>
    <pivotField showAll="0"/>
    <pivotField axis="axisRow" showAll="0">
      <items count="7">
        <item x="3"/>
        <item x="2"/>
        <item x="0"/>
        <item x="1"/>
        <item m="1" x="5"/>
        <item x="4"/>
        <item t="default"/>
      </items>
    </pivotField>
    <pivotField axis="axisPage" showAll="0">
      <items count="29">
        <item x="8"/>
        <item m="1" x="25"/>
        <item x="3"/>
        <item x="11"/>
        <item x="5"/>
        <item m="1" x="24"/>
        <item x="4"/>
        <item x="6"/>
        <item m="1" x="27"/>
        <item x="21"/>
        <item x="14"/>
        <item x="15"/>
        <item x="1"/>
        <item x="13"/>
        <item x="23"/>
        <item x="22"/>
        <item x="7"/>
        <item x="9"/>
        <item x="16"/>
        <item m="1" x="26"/>
        <item x="0"/>
        <item x="2"/>
        <item x="10"/>
        <item x="18"/>
        <item x="12"/>
        <item x="17"/>
        <item x="19"/>
        <item x="20"/>
        <item t="default"/>
      </items>
    </pivotField>
    <pivotField showAll="0"/>
    <pivotField axis="axisRow" showAll="0">
      <items count="93">
        <item x="40"/>
        <item x="56"/>
        <item x="4"/>
        <item x="52"/>
        <item m="1" x="86"/>
        <item x="60"/>
        <item x="64"/>
        <item x="68"/>
        <item x="67"/>
        <item x="74"/>
        <item x="73"/>
        <item x="71"/>
        <item x="70"/>
        <item x="69"/>
        <item x="30"/>
        <item x="27"/>
        <item x="29"/>
        <item x="26"/>
        <item x="31"/>
        <item x="28"/>
        <item x="38"/>
        <item x="49"/>
        <item m="1" x="83"/>
        <item x="42"/>
        <item x="43"/>
        <item x="23"/>
        <item x="47"/>
        <item x="72"/>
        <item x="1"/>
        <item x="32"/>
        <item x="13"/>
        <item x="39"/>
        <item x="10"/>
        <item x="15"/>
        <item x="14"/>
        <item x="19"/>
        <item x="16"/>
        <item x="22"/>
        <item x="77"/>
        <item m="1" x="88"/>
        <item m="1" x="87"/>
        <item x="54"/>
        <item x="66"/>
        <item x="33"/>
        <item x="44"/>
        <item x="24"/>
        <item x="45"/>
        <item x="63"/>
        <item x="65"/>
        <item m="1" x="91"/>
        <item x="55"/>
        <item x="78"/>
        <item x="2"/>
        <item x="5"/>
        <item x="0"/>
        <item m="1" x="84"/>
        <item x="50"/>
        <item x="51"/>
        <item x="17"/>
        <item x="3"/>
        <item x="18"/>
        <item x="59"/>
        <item m="1" x="90"/>
        <item x="76"/>
        <item x="75"/>
        <item x="53"/>
        <item x="46"/>
        <item x="20"/>
        <item x="21"/>
        <item x="25"/>
        <item m="1" x="85"/>
        <item x="34"/>
        <item x="62"/>
        <item m="1" x="82"/>
        <item m="1" x="89"/>
        <item x="6"/>
        <item x="48"/>
        <item x="9"/>
        <item x="7"/>
        <item x="8"/>
        <item x="11"/>
        <item x="12"/>
        <item x="35"/>
        <item x="36"/>
        <item x="37"/>
        <item x="41"/>
        <item x="57"/>
        <item x="58"/>
        <item x="61"/>
        <item x="79"/>
        <item x="80"/>
        <item x="81"/>
        <item t="default"/>
      </items>
    </pivotField>
    <pivotField showAll="0"/>
    <pivotField dataField="1" showAll="0"/>
    <pivotField showAll="0"/>
    <pivotField showAll="0"/>
    <pivotField showAll="0"/>
    <pivotField showAll="0"/>
    <pivotField showAll="0"/>
    <pivotField showAll="0"/>
    <pivotField showAll="0"/>
    <pivotField showAll="0"/>
  </pivotFields>
  <rowFields count="2">
    <field x="2"/>
    <field x="5"/>
  </rowFields>
  <rowItems count="92">
    <i>
      <x/>
    </i>
    <i r="1">
      <x v="5"/>
    </i>
    <i r="1">
      <x v="6"/>
    </i>
    <i r="1">
      <x v="28"/>
    </i>
    <i r="1">
      <x v="42"/>
    </i>
    <i r="1">
      <x v="47"/>
    </i>
    <i r="1">
      <x v="48"/>
    </i>
    <i r="1">
      <x v="52"/>
    </i>
    <i r="1">
      <x v="66"/>
    </i>
    <i r="1">
      <x v="75"/>
    </i>
    <i r="1">
      <x v="82"/>
    </i>
    <i r="1">
      <x v="83"/>
    </i>
    <i r="1">
      <x v="88"/>
    </i>
    <i r="1">
      <x v="90"/>
    </i>
    <i r="1">
      <x v="91"/>
    </i>
    <i>
      <x v="1"/>
    </i>
    <i r="1">
      <x v="30"/>
    </i>
    <i r="1">
      <x v="32"/>
    </i>
    <i r="1">
      <x v="33"/>
    </i>
    <i r="1">
      <x v="34"/>
    </i>
    <i r="1">
      <x v="35"/>
    </i>
    <i r="1">
      <x v="36"/>
    </i>
    <i r="1">
      <x v="53"/>
    </i>
    <i r="1">
      <x v="58"/>
    </i>
    <i r="1">
      <x v="60"/>
    </i>
    <i r="1">
      <x v="77"/>
    </i>
    <i r="1">
      <x v="79"/>
    </i>
    <i r="1">
      <x v="80"/>
    </i>
    <i r="1">
      <x v="81"/>
    </i>
    <i>
      <x v="2"/>
    </i>
    <i r="1">
      <x v="14"/>
    </i>
    <i r="1">
      <x v="15"/>
    </i>
    <i r="1">
      <x v="16"/>
    </i>
    <i r="1">
      <x v="17"/>
    </i>
    <i r="1">
      <x v="18"/>
    </i>
    <i r="1">
      <x v="19"/>
    </i>
    <i r="1">
      <x v="28"/>
    </i>
    <i r="1">
      <x v="43"/>
    </i>
    <i r="1">
      <x v="44"/>
    </i>
    <i r="1">
      <x v="52"/>
    </i>
    <i r="1">
      <x v="54"/>
    </i>
    <i r="1">
      <x v="63"/>
    </i>
    <i r="1">
      <x v="64"/>
    </i>
    <i r="1">
      <x v="71"/>
    </i>
    <i r="1">
      <x v="78"/>
    </i>
    <i>
      <x v="3"/>
    </i>
    <i r="1">
      <x/>
    </i>
    <i r="1">
      <x v="1"/>
    </i>
    <i r="1">
      <x v="2"/>
    </i>
    <i r="1">
      <x v="3"/>
    </i>
    <i r="1">
      <x v="7"/>
    </i>
    <i r="1">
      <x v="8"/>
    </i>
    <i r="1">
      <x v="9"/>
    </i>
    <i r="1">
      <x v="10"/>
    </i>
    <i r="1">
      <x v="11"/>
    </i>
    <i r="1">
      <x v="12"/>
    </i>
    <i r="1">
      <x v="13"/>
    </i>
    <i r="1">
      <x v="20"/>
    </i>
    <i r="1">
      <x v="21"/>
    </i>
    <i r="1">
      <x v="23"/>
    </i>
    <i r="1">
      <x v="24"/>
    </i>
    <i r="1">
      <x v="25"/>
    </i>
    <i r="1">
      <x v="26"/>
    </i>
    <i r="1">
      <x v="27"/>
    </i>
    <i r="1">
      <x v="28"/>
    </i>
    <i r="1">
      <x v="29"/>
    </i>
    <i r="1">
      <x v="31"/>
    </i>
    <i r="1">
      <x v="37"/>
    </i>
    <i r="1">
      <x v="38"/>
    </i>
    <i r="1">
      <x v="41"/>
    </i>
    <i r="1">
      <x v="45"/>
    </i>
    <i r="1">
      <x v="46"/>
    </i>
    <i r="1">
      <x v="50"/>
    </i>
    <i r="1">
      <x v="51"/>
    </i>
    <i r="1">
      <x v="52"/>
    </i>
    <i r="1">
      <x v="56"/>
    </i>
    <i r="1">
      <x v="57"/>
    </i>
    <i r="1">
      <x v="59"/>
    </i>
    <i r="1">
      <x v="61"/>
    </i>
    <i r="1">
      <x v="65"/>
    </i>
    <i r="1">
      <x v="67"/>
    </i>
    <i r="1">
      <x v="68"/>
    </i>
    <i r="1">
      <x v="69"/>
    </i>
    <i r="1">
      <x v="72"/>
    </i>
    <i r="1">
      <x v="76"/>
    </i>
    <i r="1">
      <x v="84"/>
    </i>
    <i r="1">
      <x v="85"/>
    </i>
    <i r="1">
      <x v="86"/>
    </i>
    <i r="1">
      <x v="87"/>
    </i>
    <i>
      <x v="5"/>
    </i>
    <i r="1">
      <x v="89"/>
    </i>
    <i t="grand">
      <x/>
    </i>
  </rowItems>
  <colItems count="1">
    <i/>
  </colItems>
  <pageFields count="1">
    <pageField fld="3" hier="-1"/>
  </pageFields>
  <dataFields count="1">
    <dataField name="Cuenta de Criticidad"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D02F12-3B0C-4D9B-B4FC-777607612875}" name="TablaDinámica2" cacheId="5"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H150:I151" firstHeaderRow="1" firstDataRow="1" firstDataCol="1"/>
  <pivotFields count="2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10">
        <item m="1" x="8"/>
        <item m="1" x="6"/>
        <item m="1" x="5"/>
        <item m="1" x="7"/>
        <item h="1" m="1" x="4"/>
        <item h="1" x="0"/>
        <item h="1" x="1"/>
        <item h="1" x="2"/>
        <item h="1" x="3"/>
        <item t="default"/>
      </items>
    </pivotField>
    <pivotField showAll="0"/>
    <pivotField showAll="0"/>
    <pivotField showAll="0"/>
  </pivotFields>
  <rowFields count="1">
    <field x="16"/>
  </rowFields>
  <rowItems count="1">
    <i t="grand">
      <x/>
    </i>
  </rowItems>
  <colItems count="1">
    <i/>
  </colItems>
  <dataFields count="1">
    <dataField name="Cuenta de Estado" fld="16" subtotal="count" baseField="0" baseItem="0"/>
  </dataFields>
  <formats count="3">
    <format dxfId="86">
      <pivotArea field="16" type="button" dataOnly="0" labelOnly="1" outline="0" axis="axisRow" fieldPosition="0"/>
    </format>
    <format dxfId="85">
      <pivotArea dataOnly="0" labelOnly="1" fieldPosition="0">
        <references count="1">
          <reference field="16" count="0"/>
        </references>
      </pivotArea>
    </format>
    <format dxfId="84">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9B1EEA-E3BA-4CAE-B2D2-E50B0E01AE1F}" name="TablaDinámica10"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K4:L10" firstHeaderRow="1" firstDataRow="1" firstDataCol="1"/>
  <pivotFields count="2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8">
        <item m="1" x="6"/>
        <item m="1" x="5"/>
        <item x="4"/>
        <item x="0"/>
        <item x="1"/>
        <item x="2"/>
        <item x="3"/>
        <item t="default"/>
      </items>
    </pivotField>
    <pivotField showAll="0"/>
    <pivotField showAll="0"/>
    <pivotField showAll="0"/>
  </pivotFields>
  <rowFields count="1">
    <field x="16"/>
  </rowFields>
  <rowItems count="6">
    <i>
      <x v="2"/>
    </i>
    <i>
      <x v="3"/>
    </i>
    <i>
      <x v="4"/>
    </i>
    <i>
      <x v="5"/>
    </i>
    <i>
      <x v="6"/>
    </i>
    <i t="grand">
      <x/>
    </i>
  </rowItems>
  <colItems count="1">
    <i/>
  </colItems>
  <dataFields count="1">
    <dataField name="Cuenta de Estado" fld="1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4302474-7007-479D-8F26-62C75BAC84E6}" name="TablaDinámica9" cacheId="4"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G14:H18" firstHeaderRow="1" firstDataRow="1" firstDataCol="1"/>
  <pivotFields count="2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axis="axisRow" dataField="1" showAll="0">
      <items count="8">
        <item m="1" x="4"/>
        <item m="1" x="6"/>
        <item m="1" x="5"/>
        <item x="0"/>
        <item x="1"/>
        <item m="1" x="3"/>
        <item x="2"/>
        <item t="default"/>
      </items>
    </pivotField>
    <pivotField showAll="0"/>
    <pivotField showAll="0"/>
    <pivotField showAll="0"/>
  </pivotFields>
  <rowFields count="1">
    <field x="16"/>
  </rowFields>
  <rowItems count="4">
    <i>
      <x v="3"/>
    </i>
    <i>
      <x v="4"/>
    </i>
    <i>
      <x v="6"/>
    </i>
    <i t="grand">
      <x/>
    </i>
  </rowItems>
  <colItems count="1">
    <i/>
  </colItems>
  <dataFields count="1">
    <dataField name="Cuenta de Estado" fld="1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C445DA-741C-4EB5-A6C1-FF8127DADC84}" name="TablaDinámica8" cacheId="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G4:H7" firstHeaderRow="1" firstDataRow="1" firstDataCol="1"/>
  <pivotFields count="1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5">
        <item m="1" x="2"/>
        <item m="1" x="3"/>
        <item x="0"/>
        <item x="1"/>
        <item t="default"/>
      </items>
    </pivotField>
    <pivotField showAll="0"/>
    <pivotField showAll="0"/>
    <pivotField showAll="0"/>
  </pivotFields>
  <rowFields count="1">
    <field x="14"/>
  </rowFields>
  <rowItems count="3">
    <i>
      <x v="2"/>
    </i>
    <i>
      <x v="3"/>
    </i>
    <i t="grand">
      <x/>
    </i>
  </rowItems>
  <colItems count="1">
    <i/>
  </colItems>
  <dataFields count="1">
    <dataField name="Cuenta de Estado" fld="1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EA7FD60-A1EB-4B14-9356-1E18257D0ADD}" name="TablaDinámica6" cacheId="5"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C14:D15" firstHeaderRow="1" firstDataRow="1" firstDataCol="1"/>
  <pivotFields count="2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10">
        <item m="1" x="8"/>
        <item m="1" x="6"/>
        <item m="1" x="5"/>
        <item m="1" x="7"/>
        <item h="1" m="1" x="4"/>
        <item h="1" x="0"/>
        <item h="1" x="1"/>
        <item h="1" x="2"/>
        <item h="1" x="3"/>
        <item t="default"/>
      </items>
    </pivotField>
    <pivotField showAll="0"/>
    <pivotField showAll="0"/>
    <pivotField showAll="0"/>
  </pivotFields>
  <rowFields count="1">
    <field x="16"/>
  </rowFields>
  <rowItems count="1">
    <i t="grand">
      <x/>
    </i>
  </rowItems>
  <colItems count="1">
    <i/>
  </colItems>
  <dataFields count="1">
    <dataField name="Cuenta de Estado" fld="1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902BE63-8F55-4726-A85A-7A63CD2F0244}" name="TablaDinámica5" cacheId="6"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C4:D10" firstHeaderRow="1" firstDataRow="1" firstDataCol="1"/>
  <pivotFields count="2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axis="axisRow" dataField="1" showAll="0">
      <items count="10">
        <item m="1" x="6"/>
        <item m="1" x="8"/>
        <item m="1" x="5"/>
        <item m="1" x="7"/>
        <item x="4"/>
        <item x="0"/>
        <item x="1"/>
        <item x="2"/>
        <item x="3"/>
        <item t="default"/>
      </items>
    </pivotField>
    <pivotField showAll="0"/>
    <pivotField showAll="0"/>
    <pivotField showAll="0"/>
  </pivotFields>
  <rowFields count="1">
    <field x="16"/>
  </rowFields>
  <rowItems count="6">
    <i>
      <x v="4"/>
    </i>
    <i>
      <x v="5"/>
    </i>
    <i>
      <x v="6"/>
    </i>
    <i>
      <x v="7"/>
    </i>
    <i>
      <x v="8"/>
    </i>
    <i t="grand">
      <x/>
    </i>
  </rowItems>
  <colItems count="1">
    <i/>
  </colItems>
  <dataFields count="1">
    <dataField name="Cuenta de Estado" fld="1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88B43A2-8BF4-4673-81E1-6E80A089917C}" name="TablaDinámica12" cacheId="2"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K14:L17" firstHeaderRow="1" firstDataRow="1" firstDataCol="1"/>
  <pivotFields count="2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6">
        <item m="1" x="2"/>
        <item m="1" x="3"/>
        <item m="1" x="4"/>
        <item x="0"/>
        <item x="1"/>
        <item t="default"/>
      </items>
    </pivotField>
    <pivotField showAll="0"/>
    <pivotField showAll="0"/>
    <pivotField showAll="0"/>
  </pivotFields>
  <rowFields count="1">
    <field x="16"/>
  </rowFields>
  <rowItems count="3">
    <i>
      <x v="3"/>
    </i>
    <i>
      <x v="4"/>
    </i>
    <i t="grand">
      <x/>
    </i>
  </rowItems>
  <colItems count="1">
    <i/>
  </colItems>
  <dataFields count="1">
    <dataField name="Cuenta de Estado" fld="1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FC6F6D9-42DD-4694-A7B5-4C91C129D625}" name="Tabla dinámica1" cacheId="1"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3:G13" firstHeaderRow="1" firstDataRow="2" firstDataCol="1"/>
  <pivotFields count="19">
    <pivotField compact="0" outline="0" showAll="0"/>
    <pivotField axis="axisRow" compact="0" outline="0" showAll="0">
      <items count="10">
        <item x="5"/>
        <item x="1"/>
        <item x="0"/>
        <item x="3"/>
        <item m="1" x="8"/>
        <item x="6"/>
        <item x="2"/>
        <item x="4"/>
        <item x="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dataField="1" compact="0" outline="0" showAll="0">
      <items count="7">
        <item m="1" x="5"/>
        <item x="4"/>
        <item x="0"/>
        <item x="1"/>
        <item x="2"/>
        <item x="3"/>
        <item t="default"/>
      </items>
    </pivotField>
    <pivotField compact="0" outline="0" showAll="0"/>
    <pivotField compact="0" outline="0" showAll="0"/>
  </pivotFields>
  <rowFields count="1">
    <field x="1"/>
  </rowFields>
  <rowItems count="9">
    <i>
      <x/>
    </i>
    <i>
      <x v="1"/>
    </i>
    <i>
      <x v="2"/>
    </i>
    <i>
      <x v="3"/>
    </i>
    <i>
      <x v="5"/>
    </i>
    <i>
      <x v="6"/>
    </i>
    <i>
      <x v="7"/>
    </i>
    <i>
      <x v="8"/>
    </i>
    <i t="grand">
      <x/>
    </i>
  </rowItems>
  <colFields count="1">
    <field x="16"/>
  </colFields>
  <colItems count="6">
    <i>
      <x v="1"/>
    </i>
    <i>
      <x v="2"/>
    </i>
    <i>
      <x v="3"/>
    </i>
    <i>
      <x v="4"/>
    </i>
    <i>
      <x v="5"/>
    </i>
    <i t="grand">
      <x/>
    </i>
  </colItems>
  <dataFields count="1">
    <dataField name="Cuenta de Estado" fld="1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B8C2749-FD5E-45FF-A667-17A424B7C6D0}" name="Tabla dinámica2" cacheId="8"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B4:G13" firstHeaderRow="1" firstDataRow="2" firstDataCol="1" rowPageCount="1" colPageCount="1"/>
  <pivotFields count="20">
    <pivotField compact="0" outline="0" showAll="0"/>
    <pivotField axis="axisRow" compact="0" outline="0" showAll="0">
      <items count="8">
        <item x="5"/>
        <item x="1"/>
        <item x="0"/>
        <item x="3"/>
        <item x="6"/>
        <item x="2"/>
        <item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axis="axisCol" compact="0" outline="0" showAll="0">
      <items count="5">
        <item x="1"/>
        <item x="2"/>
        <item x="3"/>
        <item x="0"/>
        <item t="default"/>
      </items>
    </pivotField>
    <pivotField compact="0" outline="0" showAll="0"/>
    <pivotField compact="0" outline="0" showAll="0"/>
    <pivotField axis="axisPage" dataField="1" compact="0" outline="0" showAll="0">
      <items count="3">
        <item h="1" x="1"/>
        <item x="0"/>
        <item t="default"/>
      </items>
    </pivotField>
  </pivotFields>
  <rowFields count="1">
    <field x="1"/>
  </rowFields>
  <rowItems count="8">
    <i>
      <x/>
    </i>
    <i>
      <x v="1"/>
    </i>
    <i>
      <x v="2"/>
    </i>
    <i>
      <x v="3"/>
    </i>
    <i>
      <x v="4"/>
    </i>
    <i>
      <x v="5"/>
    </i>
    <i>
      <x v="6"/>
    </i>
    <i t="grand">
      <x/>
    </i>
  </rowItems>
  <colFields count="1">
    <field x="16"/>
  </colFields>
  <colItems count="5">
    <i>
      <x/>
    </i>
    <i>
      <x v="1"/>
    </i>
    <i>
      <x v="2"/>
    </i>
    <i>
      <x v="3"/>
    </i>
    <i t="grand">
      <x/>
    </i>
  </colItems>
  <pageFields count="1">
    <pageField fld="19" item="1" hier="-1"/>
  </pageFields>
  <dataFields count="1">
    <dataField name="  VENCIMIENTO 30_04" fld="19" subtotal="count" baseField="0" baseItem="0"/>
  </dataFields>
  <formats count="26">
    <format dxfId="213">
      <pivotArea outline="0" collapsedLevelsAreSubtotals="1" fieldPosition="0"/>
    </format>
    <format dxfId="212">
      <pivotArea dataOnly="0" labelOnly="1" outline="0" fieldPosition="0">
        <references count="1">
          <reference field="19" count="1">
            <x v="1"/>
          </reference>
        </references>
      </pivotArea>
    </format>
    <format dxfId="211">
      <pivotArea field="16" type="button" dataOnly="0" labelOnly="1" outline="0" axis="axisCol" fieldPosition="0"/>
    </format>
    <format dxfId="210">
      <pivotArea type="topRight" dataOnly="0" labelOnly="1" outline="0" fieldPosition="0"/>
    </format>
    <format dxfId="209">
      <pivotArea dataOnly="0" labelOnly="1" outline="0" fieldPosition="0">
        <references count="1">
          <reference field="16" count="0"/>
        </references>
      </pivotArea>
    </format>
    <format dxfId="208">
      <pivotArea dataOnly="0" labelOnly="1" grandCol="1" outline="0" fieldPosition="0"/>
    </format>
    <format dxfId="207">
      <pivotArea outline="0" collapsedLevelsAreSubtotals="1" fieldPosition="0"/>
    </format>
    <format dxfId="206">
      <pivotArea dataOnly="0" labelOnly="1" outline="0" fieldPosition="0">
        <references count="1">
          <reference field="19" count="1">
            <x v="1"/>
          </reference>
        </references>
      </pivotArea>
    </format>
    <format dxfId="205">
      <pivotArea field="16" type="button" dataOnly="0" labelOnly="1" outline="0" axis="axisCol" fieldPosition="0"/>
    </format>
    <format dxfId="204">
      <pivotArea type="topRight" dataOnly="0" labelOnly="1" outline="0" fieldPosition="0"/>
    </format>
    <format dxfId="203">
      <pivotArea dataOnly="0" labelOnly="1" outline="0" fieldPosition="0">
        <references count="1">
          <reference field="16" count="0"/>
        </references>
      </pivotArea>
    </format>
    <format dxfId="202">
      <pivotArea dataOnly="0" labelOnly="1" grandCol="1" outline="0" fieldPosition="0"/>
    </format>
    <format dxfId="201">
      <pivotArea outline="0" fieldPosition="0">
        <references count="1">
          <reference field="1" count="1" selected="0">
            <x v="3"/>
          </reference>
        </references>
      </pivotArea>
    </format>
    <format dxfId="200">
      <pivotArea dataOnly="0" labelOnly="1" outline="0" fieldPosition="0">
        <references count="1">
          <reference field="1" count="1">
            <x v="3"/>
          </reference>
        </references>
      </pivotArea>
    </format>
    <format dxfId="199">
      <pivotArea outline="0" fieldPosition="0">
        <references count="1">
          <reference field="1" count="1" selected="0">
            <x v="4"/>
          </reference>
        </references>
      </pivotArea>
    </format>
    <format dxfId="198">
      <pivotArea dataOnly="0" labelOnly="1" outline="0" fieldPosition="0">
        <references count="1">
          <reference field="1" count="1">
            <x v="4"/>
          </reference>
        </references>
      </pivotArea>
    </format>
    <format dxfId="197">
      <pivotArea outline="0" fieldPosition="0">
        <references count="1">
          <reference field="1" count="1" selected="0">
            <x v="5"/>
          </reference>
        </references>
      </pivotArea>
    </format>
    <format dxfId="196">
      <pivotArea dataOnly="0" labelOnly="1" outline="0" fieldPosition="0">
        <references count="1">
          <reference field="1" count="1">
            <x v="5"/>
          </reference>
        </references>
      </pivotArea>
    </format>
    <format dxfId="195">
      <pivotArea outline="0" fieldPosition="0">
        <references count="1">
          <reference field="1" count="1" selected="0">
            <x v="2"/>
          </reference>
        </references>
      </pivotArea>
    </format>
    <format dxfId="194">
      <pivotArea dataOnly="0" labelOnly="1" outline="0" fieldPosition="0">
        <references count="1">
          <reference field="1" count="1">
            <x v="2"/>
          </reference>
        </references>
      </pivotArea>
    </format>
    <format dxfId="193">
      <pivotArea outline="0" fieldPosition="0">
        <references count="1">
          <reference field="1" count="1" selected="0">
            <x v="1"/>
          </reference>
        </references>
      </pivotArea>
    </format>
    <format dxfId="192">
      <pivotArea dataOnly="0" labelOnly="1" outline="0" fieldPosition="0">
        <references count="1">
          <reference field="1" count="1">
            <x v="1"/>
          </reference>
        </references>
      </pivotArea>
    </format>
    <format dxfId="191">
      <pivotArea outline="0" fieldPosition="0">
        <references count="1">
          <reference field="1" count="1" selected="0">
            <x v="6"/>
          </reference>
        </references>
      </pivotArea>
    </format>
    <format dxfId="190">
      <pivotArea dataOnly="0" labelOnly="1" outline="0" fieldPosition="0">
        <references count="1">
          <reference field="1" count="1">
            <x v="6"/>
          </reference>
        </references>
      </pivotArea>
    </format>
    <format dxfId="189">
      <pivotArea dataOnly="0" labelOnly="1" outline="0" fieldPosition="0">
        <references count="1">
          <reference field="1" count="0"/>
        </references>
      </pivotArea>
    </format>
    <format dxfId="188">
      <pivotArea outline="0" fieldPosition="0">
        <references count="1">
          <reference field="1" count="0" selected="0"/>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EA4DFCA-3DF7-46A8-8F9C-210B7BBD79F7}" name="Tabla3" displayName="Tabla3" ref="A3:O22" totalsRowShown="0">
  <autoFilter ref="A3:O22" xr:uid="{8EA4DFCA-3DF7-46A8-8F9C-210B7BBD79F7}"/>
  <tableColumns count="15">
    <tableColumn id="1" xr3:uid="{728C7019-9055-483E-9B8A-54B24107B342}" name="Artefacto"/>
    <tableColumn id="2" xr3:uid="{F0A264BE-1D4A-4206-81A2-25DFDF7A7266}" name="fila"/>
    <tableColumn id="3" xr3:uid="{B009641E-0A95-4D77-AF16-45F21DF91703}" name="Frente con dependencia"/>
    <tableColumn id="4" xr3:uid="{70BFEEF1-A49E-45F5-900E-035E33847E4B}" name="Frente proveedor"/>
    <tableColumn id="5" xr3:uid="{212C0BD5-6B25-4FC7-8E6C-8CCA796023AB}" name="Dependencia"/>
    <tableColumn id="6" xr3:uid="{D678E257-784D-45DF-B0B6-D2B3144C94AC}" name="Descripción"/>
    <tableColumn id="7" xr3:uid="{77D3CB58-D6B4-4F0C-9EB1-93647D8C66CC}" name="Tipo de dependencia"/>
    <tableColumn id="8" xr3:uid="{BDB0C3C1-5AF9-4C94-A6E4-C18DA545F0B7}" name="Criticidad"/>
    <tableColumn id="9" xr3:uid="{216DC813-F2D4-4876-B722-A3643F14F160}" name="Fecha requerida" dataDxfId="187"/>
    <tableColumn id="10" xr3:uid="{AC8E7A71-129F-47D0-8EEA-B3C4A26E023A}" name="Fecha acordada"/>
    <tableColumn id="11" xr3:uid="{C09DF713-5F1A-4070-BE60-312B9BF9C5CF}" name="Plan de mitigación"/>
    <tableColumn id="12" xr3:uid="{0FD108D2-0B1E-40EA-B544-A6C2BC3E3C6E}" name="Responsable"/>
    <tableColumn id="13" xr3:uid="{DCF47108-BEC5-4E58-8355-37924DB8E317}" name="Revisado por PMO"/>
    <tableColumn id="14" xr3:uid="{E1BE10CD-29F4-42BA-A95E-CC811A056B0A}" name="Estado"/>
    <tableColumn id="15" xr3:uid="{6D942FA4-695C-4A44-880D-CE6F37051E28}" name="BBLOCK"/>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975D072-04A9-469F-B7EA-827A7D4FFBB6}" name="TablaSoporte" displayName="TablaSoporte" ref="D3:U89" totalsRowShown="0" headerRowDxfId="186" dataDxfId="185">
  <autoFilter ref="D3:U89" xr:uid="{3975D072-04A9-469F-B7EA-827A7D4FFBB6}">
    <filterColumn colId="8">
      <filters>
        <dateGroupItem year="2026" month="3" dateTimeGrouping="month"/>
        <dateGroupItem year="2026" month="4" dateTimeGrouping="month"/>
      </filters>
    </filterColumn>
  </autoFilter>
  <tableColumns count="18">
    <tableColumn id="1" xr3:uid="{A7867870-CAE8-46E8-8E3F-EE0FB55D3B7E}" name="Artefacto" dataDxfId="184"/>
    <tableColumn id="3" xr3:uid="{65319284-75C8-4724-A4AA-3912DFC9BC85}" name="fila2" dataDxfId="183"/>
    <tableColumn id="2" xr3:uid="{133F2CDD-F4E1-4FDD-A2C3-A8BB86C50569}" name="Frente con dependencia" dataDxfId="182"/>
    <tableColumn id="4" xr3:uid="{705F136E-D4DB-4417-9083-577A4AA1507A}" name="Frente proveedor" dataDxfId="181"/>
    <tableColumn id="5" xr3:uid="{925844E8-6C42-48BA-99D4-88ECD00CCA4E}" name="Dependencia" dataDxfId="180"/>
    <tableColumn id="6" xr3:uid="{5812685F-A23D-40B6-B1F7-D1F941627318}" name="Descripción" dataDxfId="179"/>
    <tableColumn id="11" xr3:uid="{86ABA03F-3388-4938-B5C4-DAEE6CE22664}" name="Tipo de dependencia" dataDxfId="178"/>
    <tableColumn id="15" xr3:uid="{8B9AF8ED-30CD-4E10-82B2-58824120E7F0}" name="Criticidad" dataDxfId="177"/>
    <tableColumn id="9" xr3:uid="{E3292825-04C2-423E-AE00-5F3C68E4345B}" name="Fecha requerida" dataDxfId="176"/>
    <tableColumn id="18" xr3:uid="{975A9B28-84EF-43C0-8B94-96B425D2D177}" name="Fecha Nueva" dataDxfId="175"/>
    <tableColumn id="7" xr3:uid="{636760D5-7792-4991-BE8D-9F2D36E19458}" name="Fecha acordada" dataDxfId="174"/>
    <tableColumn id="13" xr3:uid="{76937265-2E3F-4BDE-96D3-BD711B1E1A01}" name="Plan de mitigación" dataDxfId="173"/>
    <tableColumn id="17" xr3:uid="{A3922A6C-61F5-4711-A4EA-7BD6713CF1E7}" name="Responsable" dataDxfId="172"/>
    <tableColumn id="8" xr3:uid="{25E50BAF-39AC-4A0B-9871-9EDCC77EBAEE}" name="Revisado por PMO" dataDxfId="171"/>
    <tableColumn id="16" xr3:uid="{6401D13C-7BD9-42C7-8106-8280E8646ABE}" name="Estado" dataDxfId="170"/>
    <tableColumn id="10" xr3:uid="{442DA554-DBCA-431A-A83E-30E5160F8970}" name="BBLOCK" dataDxfId="169"/>
    <tableColumn id="12" xr3:uid="{A9C121DE-6960-4871-B648-8A1D277E63A9}" name="Comentario PMO" dataDxfId="168"/>
    <tableColumn id="14" xr3:uid="{0564D1FB-6FCB-4AC4-A71D-80CE78FFB23F}" name="VENCIO_30_04" dataDxfId="167">
      <calculatedColumnFormula>+IF(TablaSoporte[[#This Row],[Fecha requerida]]&lt;DATE(2026,4,30),"S","N")</calculatedColumnFormula>
    </tableColumn>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F496804-3898-4BF1-AF81-E5B6C2BA1D3C}" name="TablaCards" displayName="TablaCards" ref="D2:U27" totalsRowShown="0" headerRowDxfId="166" dataDxfId="165">
  <autoFilter ref="D2:U27" xr:uid="{BCAC786A-B301-4DA2-AAD6-F3F92354F842}">
    <filterColumn colId="8">
      <filters>
        <dateGroupItem year="2026" month="2" dateTimeGrouping="month"/>
        <dateGroupItem year="2026" month="3" dateTimeGrouping="month"/>
        <dateGroupItem year="2026" month="4" dateTimeGrouping="month"/>
      </filters>
    </filterColumn>
    <filterColumn colId="14">
      <filters>
        <filter val="1.Identificada"/>
        <filter val="2.Solicitada"/>
      </filters>
    </filterColumn>
  </autoFilter>
  <tableColumns count="18">
    <tableColumn id="1" xr3:uid="{A32998FF-1F99-4F04-9D5D-CC9F1F71F252}" name="Artefacto" dataDxfId="164"/>
    <tableColumn id="3" xr3:uid="{04FAAFB6-DBD1-43C3-AE82-365D5B55765C}" name="fila2" dataDxfId="163"/>
    <tableColumn id="2" xr3:uid="{EAA1CCED-5262-4437-8B4F-E53761318D61}" name="Frente con dependencia" dataDxfId="162"/>
    <tableColumn id="4" xr3:uid="{8B54738A-67F3-4685-9016-DAE1EEB1D39A}" name="Frente proveedor" dataDxfId="161"/>
    <tableColumn id="5" xr3:uid="{D55C5C66-D2EB-4F0B-BCD3-271714F47D40}" name="Dependencia" dataDxfId="160"/>
    <tableColumn id="6" xr3:uid="{914B0054-CA4E-4149-9C51-48853CD02B85}" name="Descripción" dataDxfId="159"/>
    <tableColumn id="11" xr3:uid="{9E6AAB4A-EACD-4999-B8E4-31670394B602}" name="Tipo de dependencia" dataDxfId="158"/>
    <tableColumn id="15" xr3:uid="{923FD6B8-D4F7-4106-8567-67A79169DFA8}" name="Criticidad" dataDxfId="157"/>
    <tableColumn id="9" xr3:uid="{F188480E-B5BC-46FC-8BBA-20249856150C}" name="Fecha requerida" dataDxfId="156"/>
    <tableColumn id="14" xr3:uid="{F346D3F0-C2E0-4F86-9FBD-2B905CE40D3E}" name="Fecha Nueva" dataDxfId="155"/>
    <tableColumn id="7" xr3:uid="{82ABD11C-8477-4721-BF76-16BA6E88228C}" name="Fecha acordada" dataDxfId="154"/>
    <tableColumn id="13" xr3:uid="{E4FEF070-36DA-44F2-8376-958ED4A9D113}" name="Plan de mitigación" dataDxfId="153"/>
    <tableColumn id="17" xr3:uid="{6E087220-091B-4F4B-AC5E-7BFF2AE4B59C}" name="Responsable" dataDxfId="152"/>
    <tableColumn id="8" xr3:uid="{02E10100-18FF-4605-8D39-26BB55DFF4F4}" name="Revisado por PMO" dataDxfId="151"/>
    <tableColumn id="16" xr3:uid="{886D8555-DA3B-40E6-9B5D-A5ED06F3F258}" name="Estado" dataDxfId="150"/>
    <tableColumn id="10" xr3:uid="{4D367070-5C46-4562-BDCC-FAEE465DCE5A}" name="BBLOCK" dataDxfId="149"/>
    <tableColumn id="12" xr3:uid="{C389794F-4448-40E1-B198-CF526BCBF326}" name="Comentario PMO" dataDxfId="148"/>
    <tableColumn id="18" xr3:uid="{CD2D19A3-7AED-4E8D-827C-BA92929FD70A}" name="VENCIO_30_04" dataDxfId="147">
      <calculatedColumnFormula>IF(TablaCards[[#This Row],[Fecha requerida]]="","N",IF(TablaCards[[#This Row],[Fecha requerida]]&lt;=DATE(2026,4,30),"S","N"))</calculatedColumnFormula>
    </tableColumn>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60863A8-1823-46C6-A59D-19603213EA6E}" name="TablaCore" displayName="TablaCore" ref="D2:U147" totalsRowShown="0" headerRowDxfId="146" dataDxfId="145">
  <autoFilter ref="D2:U147" xr:uid="{760863A8-1823-46C6-A59D-19603213EA6E}">
    <filterColumn colId="10" hiddenButton="1"/>
  </autoFilter>
  <tableColumns count="18">
    <tableColumn id="1" xr3:uid="{D83E0989-8EBC-4051-855E-9003D897E4C5}" name="Artefacto" dataDxfId="144"/>
    <tableColumn id="3" xr3:uid="{84CF3B5D-BDE9-4A57-8E69-EDD4E30B6A6C}" name="fila2" dataDxfId="143"/>
    <tableColumn id="2" xr3:uid="{1B214A93-F500-48B4-88E0-F17A44FB6480}" name="Frente con dependencia" dataDxfId="142"/>
    <tableColumn id="4" xr3:uid="{05B3472A-D2C6-47B2-B52F-A016C30AC866}" name="Frente proveedor" dataDxfId="141"/>
    <tableColumn id="5" xr3:uid="{3F6F3E60-11FF-4476-870B-424DF3806519}" name="Dependencia" dataDxfId="140"/>
    <tableColumn id="6" xr3:uid="{1AB89395-EE45-458E-A6FD-6629FBB9310B}" name="Descripción" dataDxfId="139"/>
    <tableColumn id="11" xr3:uid="{804CC2A9-2E17-4DBA-AC7A-B94AE4A72EE2}" name="Tipo de dependencia" dataDxfId="138"/>
    <tableColumn id="15" xr3:uid="{E14443DC-5F51-4FAE-8B4B-92676DBE6339}" name="Criticidad" dataDxfId="137"/>
    <tableColumn id="9" xr3:uid="{50923582-8023-4D24-879A-6D7611A1F843}" name="Fecha requerida" dataDxfId="136"/>
    <tableColumn id="18" xr3:uid="{4917E0DF-DF1C-4B3E-9046-072F9F13F4B8}" name="Fecha Nueva" dataDxfId="135"/>
    <tableColumn id="7" xr3:uid="{0E99202E-B1AE-4943-AC64-17E131C1C285}" name="Fecha acordada" dataDxfId="134"/>
    <tableColumn id="13" xr3:uid="{E410F069-5888-49F7-AFBB-E236A58B4E27}" name="Plan de mitigación" dataDxfId="133"/>
    <tableColumn id="17" xr3:uid="{A2A44D5F-298C-49B2-A806-D4738BA17F5F}" name="Responsable" dataDxfId="132"/>
    <tableColumn id="8" xr3:uid="{BC24B607-D5C5-47F0-AB04-BF54EE5D8F36}" name="Revisado por PMO" dataDxfId="131"/>
    <tableColumn id="16" xr3:uid="{112A2E33-4FF5-40D0-8345-6F8E3C733A67}" name="Estado" dataDxfId="130"/>
    <tableColumn id="10" xr3:uid="{35F7DCE9-CC11-4257-9877-9AC7A62C7EFE}" name="BBLOCK" dataDxfId="129"/>
    <tableColumn id="12" xr3:uid="{9F96FCF7-8C36-4D66-AF40-95761E2104F3}" name="Comentario PMO" dataDxfId="128"/>
    <tableColumn id="14" xr3:uid="{7A4B2453-F22A-47C5-B212-DA078F9B901D}" name="VENCIO_30_04" dataDxfId="127">
      <calculatedColumnFormula>IF(TablaCore[[#This Row],[Fecha requerida]]="","N",IF(TablaCore[[#This Row],[Fecha requerida]]&lt;=DATE(2026,4,30),"S","N"))</calculatedColumnFormula>
    </tableColumn>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F0B34E3-8934-4167-9346-A21F13C89AB5}" name="TablaDigital" displayName="TablaDigital" ref="D2:U21" totalsRowShown="0" headerRowDxfId="126" dataDxfId="125">
  <autoFilter ref="D2:U21" xr:uid="{2F0B34E3-8934-4167-9346-A21F13C89AB5}">
    <filterColumn colId="8">
      <filters>
        <dateGroupItem year="2026" month="2" dateTimeGrouping="month"/>
        <dateGroupItem year="2026" month="3" dateTimeGrouping="month"/>
        <dateGroupItem year="2026" month="4" dateTimeGrouping="month"/>
      </filters>
    </filterColumn>
    <filterColumn colId="14">
      <filters>
        <filter val="4.Resuelta"/>
      </filters>
    </filterColumn>
  </autoFilter>
  <tableColumns count="18">
    <tableColumn id="1" xr3:uid="{E033A8C6-30CF-4E7E-B9B7-D6CACA9C6E2A}" name="Artefacto" dataDxfId="124"/>
    <tableColumn id="3" xr3:uid="{7E405FE1-9358-4691-B3B5-589763CFF0C2}" name="fila2" dataDxfId="123"/>
    <tableColumn id="2" xr3:uid="{539EB26D-1263-401D-9A9A-60F408576A3B}" name="Frente con dependencia" dataDxfId="122"/>
    <tableColumn id="4" xr3:uid="{7789082F-B620-4C56-9EE1-EFC7C82BDF8F}" name="Frente proveedor" dataDxfId="121"/>
    <tableColumn id="5" xr3:uid="{4CE79764-2587-4BFA-9537-8BE33D8F8FEC}" name="Dependencia" dataDxfId="120"/>
    <tableColumn id="6" xr3:uid="{E7B8C76B-5BEB-436B-9238-C89AC5606800}" name="Descripción" dataDxfId="119"/>
    <tableColumn id="11" xr3:uid="{A1FFB169-160B-47BA-8257-DBAD7141DE2A}" name="Tipo de dependencia" dataDxfId="118"/>
    <tableColumn id="15" xr3:uid="{61885648-3414-4384-BFDD-BA96417470E8}" name="Criticidad" dataDxfId="117"/>
    <tableColumn id="9" xr3:uid="{9F2FCDFF-0697-4D29-86FF-03E6BC13B4AC}" name="Fecha requerida" dataDxfId="116"/>
    <tableColumn id="14" xr3:uid="{B73BEF9B-5CF5-48B3-9659-BA24AB8A6DC2}" name="Fecha Nueva" dataDxfId="115"/>
    <tableColumn id="7" xr3:uid="{FAD2C075-42E8-449C-8F80-5C56A9D9CCA2}" name="Fecha acordada" dataDxfId="114"/>
    <tableColumn id="13" xr3:uid="{85FACE92-8308-438D-AF76-CEBC170F7096}" name="Plan de mitigación" dataDxfId="113"/>
    <tableColumn id="17" xr3:uid="{A9192774-CD7F-490A-9FD2-E744DED19543}" name="Responsable" dataDxfId="112"/>
    <tableColumn id="8" xr3:uid="{42531289-7F0E-422F-BCF3-ABF723DADF4E}" name="Revisado por PMO" dataDxfId="111"/>
    <tableColumn id="16" xr3:uid="{B2621B44-E8E7-4039-98F0-A6D97796F9BF}" name="Estado" dataDxfId="110"/>
    <tableColumn id="10" xr3:uid="{E50EB146-1C7D-461F-9D1D-D5D234216A12}" name="BBLOCK" dataDxfId="109"/>
    <tableColumn id="12" xr3:uid="{86EF0662-5C12-46C5-B574-5C3B4A3965E1}" name="Comentario PMO" dataDxfId="108"/>
    <tableColumn id="18" xr3:uid="{89EF9162-E98E-4F2E-8E75-2474E8F48814}" name="VENCIO_30_04" dataDxfId="107">
      <calculatedColumnFormula>IF(TablaDigital[[#This Row],[Fecha requerida]]="","N",IF(TablaDigital[[#This Row],[Fecha requerida]]&lt;=DATE(2026,4,30),"S","N"))</calculatedColumnFormula>
    </tableColumn>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6963E5CF-6965-4C54-85C6-B54E441B23B5}" name="Tabla19" displayName="Tabla19" ref="A3:O4" totalsRowShown="0">
  <autoFilter ref="A3:O4" xr:uid="{6963E5CF-6965-4C54-85C6-B54E441B23B5}"/>
  <tableColumns count="15">
    <tableColumn id="1" xr3:uid="{39D601E7-C1DD-482D-AF08-C3E05459575F}" name="Artefacto"/>
    <tableColumn id="2" xr3:uid="{8414A9B8-3727-484F-9042-7ACEA852675B}" name="fila"/>
    <tableColumn id="3" xr3:uid="{D92F207B-A83F-437F-A3C0-8CDA6BA40902}" name="Frente con dependencia"/>
    <tableColumn id="4" xr3:uid="{F164E11D-D178-47BA-9132-F19FEADD211A}" name="Frente proveedor"/>
    <tableColumn id="5" xr3:uid="{4D590C89-D7B7-48CB-8745-AD73D9ACF6F7}" name="Dependencia"/>
    <tableColumn id="6" xr3:uid="{BAC2520D-49D7-423B-BF7E-E5A20D575B23}" name="Descripción"/>
    <tableColumn id="7" xr3:uid="{3039A991-6632-463A-9416-02D688B00025}" name="Tipo de dependencia"/>
    <tableColumn id="8" xr3:uid="{F830B4B2-BFBC-4EB8-AC7E-A11670EAA16D}" name="Criticidad"/>
    <tableColumn id="9" xr3:uid="{214467F1-AD14-49F3-BCA9-21A9A6F42750}" name="Fecha requerida" dataDxfId="106"/>
    <tableColumn id="10" xr3:uid="{52C742D9-4697-4F59-9BD7-D8D9A6C6C965}" name="Fecha acordada"/>
    <tableColumn id="11" xr3:uid="{7D053A8A-398A-4784-AF56-B270E3307974}" name="Plan de mitigación"/>
    <tableColumn id="12" xr3:uid="{C8CB914E-5848-4F97-8C8B-FF5BECE6741C}" name="Responsable"/>
    <tableColumn id="13" xr3:uid="{962D9D09-077B-4C8A-8262-9D11BD4176F1}" name="Revisado por PMO"/>
    <tableColumn id="14" xr3:uid="{2DC0FE8E-C92C-4EE4-A466-BDC4F6B5E9AD}" name="Estado"/>
    <tableColumn id="15" xr3:uid="{936B97FA-88C2-4944-B1A0-C7D4F6837A30}" name="BBLOCK"/>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707AC58C-1ED4-4FDB-BB5D-EAE8A7986961}" name="Tabla20" displayName="Tabla20" ref="A3:O4" totalsRowShown="0">
  <autoFilter ref="A3:O4" xr:uid="{707AC58C-1ED4-4FDB-BB5D-EAE8A7986961}"/>
  <tableColumns count="15">
    <tableColumn id="1" xr3:uid="{EED4698D-52F4-4076-BE4B-ADA7763F0841}" name="Artefacto"/>
    <tableColumn id="2" xr3:uid="{D9E52CBE-E0F0-4D00-8F41-341872DC5570}" name="fila"/>
    <tableColumn id="3" xr3:uid="{C6E8F67D-D747-4688-90B3-67D332D5C7B0}" name="Frente con dependencia"/>
    <tableColumn id="4" xr3:uid="{B4916541-869F-4BAF-9B62-690AC45CA11B}" name="Frente proveedor"/>
    <tableColumn id="5" xr3:uid="{91FA4483-709C-4B0F-AA6C-71FBB245AE9E}" name="Dependencia"/>
    <tableColumn id="6" xr3:uid="{314348DC-C974-441D-BEC3-006EA9CD8D45}" name="Descripción"/>
    <tableColumn id="7" xr3:uid="{5B0034A7-0814-46E0-8845-08B782F25F63}" name="Tipo de dependencia"/>
    <tableColumn id="8" xr3:uid="{0BD3B88C-9A7F-4CC0-9AF4-96D5F2599D9C}" name="Criticidad"/>
    <tableColumn id="9" xr3:uid="{32692755-9854-494A-A342-8FE39693C6C8}" name="Fecha requerida" dataDxfId="105"/>
    <tableColumn id="10" xr3:uid="{E3279E26-4908-4559-9DDC-70C5578C9C33}" name="Fecha acordada"/>
    <tableColumn id="11" xr3:uid="{AF104DFB-DB40-4D22-A690-D8FC12AD40C0}" name="Plan de mitigación"/>
    <tableColumn id="12" xr3:uid="{C76007F2-AAC9-497E-A8B4-B485864EC1E5}" name="Responsable"/>
    <tableColumn id="13" xr3:uid="{D322AF73-F422-4210-8DD7-CE3692ABB440}" name="Revisado por PMO"/>
    <tableColumn id="14" xr3:uid="{1524D3EA-138B-46FA-B03D-5574D1D0881D}" name="Estado"/>
    <tableColumn id="15" xr3:uid="{53D2113F-39F8-4155-A326-03AE0F64FC0D}" name="BBLOCK"/>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1C8ABE7-49A2-4F8E-B8F1-CD43A31BA780}" name="Tabla21" displayName="Tabla21" ref="A3:O4" totalsRowShown="0">
  <autoFilter ref="A3:O4" xr:uid="{31C8ABE7-49A2-4F8E-B8F1-CD43A31BA780}"/>
  <tableColumns count="15">
    <tableColumn id="1" xr3:uid="{011E9D37-F3E4-4027-9A73-C4244533F2BE}" name="Artefacto"/>
    <tableColumn id="2" xr3:uid="{47564027-C788-41A5-BF09-51C7CA57A205}" name="fila"/>
    <tableColumn id="3" xr3:uid="{21FFC630-1690-4D2E-AC18-2440F18613DA}" name="Frente con dependencia"/>
    <tableColumn id="4" xr3:uid="{6F80B2E9-1376-4FA0-BD58-0E827A2A0D06}" name="Frente proveedor"/>
    <tableColumn id="5" xr3:uid="{E9690148-9478-416E-93A8-A2A82FD85262}" name="Dependencia"/>
    <tableColumn id="6" xr3:uid="{7BCDB0C6-E4B4-4356-BB03-4E6C402F27A3}" name="Descripción"/>
    <tableColumn id="7" xr3:uid="{D353A1B8-383D-4DF6-9501-7C5A6AC4DAF4}" name="Tipo de dependencia"/>
    <tableColumn id="8" xr3:uid="{D834F180-E5DA-4DCE-8EFA-9320196BB510}" name="Criticidad"/>
    <tableColumn id="9" xr3:uid="{F9477AA9-789D-4B92-94D7-EB63B839B1C6}" name="Fecha requerida" dataDxfId="104"/>
    <tableColumn id="10" xr3:uid="{ABC82097-DB1C-48F8-9EB2-1232A8AEA63C}" name="Fecha acordada"/>
    <tableColumn id="11" xr3:uid="{68E57638-ACCB-4697-A01F-ABBB1B6AAC03}" name="Plan de mitigación"/>
    <tableColumn id="12" xr3:uid="{950A2EAA-0471-4003-860D-D1BCD90349A3}" name="Responsable"/>
    <tableColumn id="13" xr3:uid="{B6B95A67-A4C9-4506-8432-8200738D125E}" name="Revisado por PMO"/>
    <tableColumn id="14" xr3:uid="{B4F4866C-416E-424D-9BAC-69D6EF2D1FA7}" name="Estado"/>
    <tableColumn id="15" xr3:uid="{4809377D-D4EA-477B-BFA5-0350523F7586}" name="BBLOCK"/>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F9FAEB7-2442-4C11-8257-1FCE78B7CA56}" name="Tabla22" displayName="Tabla22" ref="A3:O4" totalsRowShown="0">
  <autoFilter ref="A3:O4" xr:uid="{1F9FAEB7-2442-4C11-8257-1FCE78B7CA56}"/>
  <tableColumns count="15">
    <tableColumn id="1" xr3:uid="{0FDFD020-1F5B-45E9-90F4-85799A661434}" name="Artefacto"/>
    <tableColumn id="2" xr3:uid="{73984DFE-FA2A-4261-8A87-A46978582624}" name="fila"/>
    <tableColumn id="3" xr3:uid="{7BEE7FFF-1F25-4240-BD0F-5EF3D24EAAD2}" name="Frente con dependencia"/>
    <tableColumn id="4" xr3:uid="{E77293EE-FE76-4068-840E-132AA583C921}" name="Frente proveedor"/>
    <tableColumn id="5" xr3:uid="{8EADC78B-678B-4840-B84A-AD59A5F8B218}" name="Dependencia"/>
    <tableColumn id="6" xr3:uid="{FDC821BC-5046-4CC7-91F4-7E2DBA5848AC}" name="Descripción"/>
    <tableColumn id="7" xr3:uid="{AA9CC294-B0BB-47F4-8997-9060CB4E157A}" name="Tipo de dependencia"/>
    <tableColumn id="8" xr3:uid="{B6E751E7-AA8C-4FAB-BFD8-CBF534B84CF0}" name="Criticidad"/>
    <tableColumn id="9" xr3:uid="{7ED7F6B5-9023-4500-9C52-A20853FE102A}" name="Fecha requerida" dataDxfId="103"/>
    <tableColumn id="10" xr3:uid="{9205BAA9-A593-42CF-B19A-04B96E838E11}" name="Fecha acordada"/>
    <tableColumn id="11" xr3:uid="{69E95820-B65D-4F05-A216-0245E8936820}" name="Plan de mitigación"/>
    <tableColumn id="12" xr3:uid="{EDFEA125-81DF-4570-A047-B414C84F8B88}" name="Responsable"/>
    <tableColumn id="13" xr3:uid="{E72E06D6-AC04-4C83-B8CD-E1502F4677A8}" name="Revisado por PMO"/>
    <tableColumn id="14" xr3:uid="{C6790706-C181-4B98-8518-9443FB265E20}" name="Estado"/>
    <tableColumn id="15" xr3:uid="{2E753561-7884-4AD3-A4E7-239D000D6956}" name="BBLOCK"/>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F9FBDA61-E009-4E69-9123-CCBE57E710E5}" name="Tabla23" displayName="Tabla23" ref="A3:O4" totalsRowShown="0">
  <autoFilter ref="A3:O4" xr:uid="{F9FBDA61-E009-4E69-9123-CCBE57E710E5}"/>
  <tableColumns count="15">
    <tableColumn id="1" xr3:uid="{4E3B0C47-DD67-43E7-931A-623F0873F334}" name="Artefacto"/>
    <tableColumn id="2" xr3:uid="{5D3D488A-6E33-4C10-AA5E-8FBD35E78CC9}" name="fila"/>
    <tableColumn id="3" xr3:uid="{666761FF-338C-4A67-862C-3DDC7061F694}" name="Frente con dependencia"/>
    <tableColumn id="4" xr3:uid="{F86D672D-AA4B-42F5-8109-608189442C2F}" name="Frente proveedor"/>
    <tableColumn id="5" xr3:uid="{122A7446-0A04-4BA8-AAD3-8438A63B1FF5}" name="Dependencia"/>
    <tableColumn id="6" xr3:uid="{890EF821-3BD1-48C4-B884-03674B5C9BD0}" name="Descripción"/>
    <tableColumn id="7" xr3:uid="{FAC8251B-F828-46CB-9758-C3B732ECCB75}" name="Tipo de dependencia"/>
    <tableColumn id="8" xr3:uid="{6740D027-9F74-409A-93CC-48E979164900}" name="Criticidad"/>
    <tableColumn id="9" xr3:uid="{7BE121AD-5B6F-40DE-8610-E63C8050A56E}" name="Fecha requerida" dataDxfId="102"/>
    <tableColumn id="10" xr3:uid="{F85FDA9D-32DF-4EBC-BB2A-6DA121DA9E58}" name="Fecha acordada"/>
    <tableColumn id="11" xr3:uid="{45B8AC5D-F3E2-41D7-A562-81FA4CC71CA7}" name="Plan de mitigación"/>
    <tableColumn id="12" xr3:uid="{01284BB0-B271-4E98-9072-03E511697E2B}" name="Responsable"/>
    <tableColumn id="13" xr3:uid="{DFD3D0FF-C358-4C97-A759-A31F70ABA7A8}" name="Revisado por PMO"/>
    <tableColumn id="14" xr3:uid="{3330D465-831A-4837-9579-1CADD6CE5698}" name="Estado"/>
    <tableColumn id="15" xr3:uid="{C189524D-C2D0-4B59-A329-387DC667AAAE}" name="BBLOCK"/>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4A24770C-44F7-42EC-8CF6-82519ADFC3DE}" name="TablaArquitectura" displayName="TablaArquitectura" ref="B2:P7" totalsRowShown="0" tableBorderDxfId="101">
  <autoFilter ref="B2:P7" xr:uid="{4A24770C-44F7-42EC-8CF6-82519ADFC3DE}"/>
  <tableColumns count="15">
    <tableColumn id="1" xr3:uid="{118596D4-FD65-4056-A801-C4F5DC387599}" name="Artefacto" dataDxfId="100"/>
    <tableColumn id="2" xr3:uid="{B55C24AF-69C3-4910-832E-3FB2776B851E}" name="fila2" dataDxfId="99"/>
    <tableColumn id="3" xr3:uid="{159C9A01-6FF7-4480-B638-8014B5EC5476}" name="Frente con dependencia" dataDxfId="98"/>
    <tableColumn id="4" xr3:uid="{39C0DD19-9753-457E-B79F-D4C93B76E436}" name="Frente proveedor" dataDxfId="97"/>
    <tableColumn id="5" xr3:uid="{75D297C5-8149-42AF-9FBF-A2BDA7DD37A1}" name="Dependencia" dataDxfId="96"/>
    <tableColumn id="6" xr3:uid="{AEF57164-698D-47D8-AAA0-DE33F7CC55F4}" name="Descripción" dataDxfId="95"/>
    <tableColumn id="7" xr3:uid="{67E090D6-DAA1-4E91-8667-8990AD4E8F3D}" name="Tipo de dependencia" dataDxfId="94"/>
    <tableColumn id="8" xr3:uid="{1879944F-5680-44F5-95DB-152068B71846}" name="Criticidad" dataDxfId="93"/>
    <tableColumn id="9" xr3:uid="{D06426A6-14EA-4A01-BE6E-02C0D69B28F0}" name="Fecha requerida" dataDxfId="92"/>
    <tableColumn id="10" xr3:uid="{C2DED506-4ACA-406D-A88B-095C4E8FB99E}" name="Fecha acordada" dataDxfId="91"/>
    <tableColumn id="11" xr3:uid="{8C995536-951C-40E4-8586-4D040441C0BC}" name="Plan de mitigación" dataDxfId="90"/>
    <tableColumn id="12" xr3:uid="{C41FFEA2-54EF-4970-8752-1715E4FC6BF5}" name="Responsable" dataDxfId="89"/>
    <tableColumn id="13" xr3:uid="{BD7CD99B-F625-4825-A54B-8575055417B5}" name="Revisado por PMO" dataDxfId="88"/>
    <tableColumn id="14" xr3:uid="{2A5A0260-43F4-42AB-84B8-D651FDA2DBE9}" name="Estado" dataDxfId="87"/>
    <tableColumn id="15" xr3:uid="{20066395-2E9C-49B8-B191-398AA2BDB0A5}" name="BBLOCK"/>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AC786A-B301-4DA2-AAD6-F3F92354F842}" name="TablaAsistidos" displayName="TablaAsistidos" ref="D3:U138" totalsRowShown="0" headerRowDxfId="83" dataDxfId="82">
  <autoFilter ref="D3:U138" xr:uid="{BCAC786A-B301-4DA2-AAD6-F3F92354F842}">
    <filterColumn colId="2">
      <filters>
        <filter val="Genesys Cloud"/>
        <filter val="SPACE"/>
      </filters>
    </filterColumn>
    <filterColumn colId="8">
      <filters>
        <dateGroupItem year="2026" month="3" dateTimeGrouping="month"/>
      </filters>
    </filterColumn>
    <filterColumn colId="14">
      <filters>
        <filter val="1.Identificada"/>
        <filter val="3.En progreso"/>
      </filters>
    </filterColumn>
  </autoFilter>
  <tableColumns count="18">
    <tableColumn id="1" xr3:uid="{C6319173-2293-4F00-8DD1-FB4B39788BF8}" name="Artefacto" dataDxfId="81"/>
    <tableColumn id="3" xr3:uid="{087E449D-3F93-422F-BC68-F33A92772A4B}" name="Fila" dataDxfId="80"/>
    <tableColumn id="2" xr3:uid="{5945CDBF-F9F6-4B6C-9EE0-468CA551077D}" name="Frente con dependencia" dataDxfId="79"/>
    <tableColumn id="4" xr3:uid="{81984424-0C9B-4BC0-B473-22A3F64C8195}" name="Frente proveedor" dataDxfId="78"/>
    <tableColumn id="5" xr3:uid="{3E5BA146-8A32-45F9-AD6C-0A3785E0E7B2}" name="Dependencia" dataDxfId="77"/>
    <tableColumn id="6" xr3:uid="{CC4EEB4B-D495-4392-A405-0795D655411C}" name="Descripción" dataDxfId="76"/>
    <tableColumn id="11" xr3:uid="{657B8DEF-B25C-468B-AB55-98AA167C8903}" name="Tipo de dependencia" dataDxfId="75"/>
    <tableColumn id="15" xr3:uid="{9DE1801A-0418-4DC1-8B6B-D8105294E4AC}" name="Criticidad" dataDxfId="74"/>
    <tableColumn id="9" xr3:uid="{DC6658EA-90BE-4FF0-9FC4-C9EB0C9170E9}" name="Fecha requerida" dataDxfId="73"/>
    <tableColumn id="14" xr3:uid="{FFBDB86C-9B49-49D1-86DA-4E6CCD75FDB6}" name="Fecha Nueva" dataDxfId="72"/>
    <tableColumn id="7" xr3:uid="{EEFA8FFC-3119-4FB5-959A-F31C57AF5CEA}" name="Fecha acordada" dataDxfId="71"/>
    <tableColumn id="13" xr3:uid="{780C2BE1-6B0E-4E44-845E-6400BBB0D9B5}" name="Plan de mitigación" dataDxfId="70"/>
    <tableColumn id="17" xr3:uid="{7521BFE4-8333-43D4-BE4D-5996945EE5F3}" name="Responsable" dataDxfId="69"/>
    <tableColumn id="8" xr3:uid="{9B7A4F9C-5D49-4795-B650-19EF06E5BD20}" name="Revisado por PMO" dataDxfId="68"/>
    <tableColumn id="16" xr3:uid="{B627CBE9-1235-49EC-ACB1-4C6E8ACC3126}" name="Estado" dataDxfId="67"/>
    <tableColumn id="10" xr3:uid="{D8EBE26E-9B64-4BC0-BF00-58FFD24C29C8}" name="BBLOCK" dataDxfId="66"/>
    <tableColumn id="12" xr3:uid="{1756F68C-E10F-48A5-9DEA-C6F181CCC301}" name="Comentario PMO" dataDxfId="65"/>
    <tableColumn id="18" xr3:uid="{5E34D495-341A-4D7C-8AC7-A8C3AED23471}" name="VENCIO_30_04" dataDxfId="64">
      <calculatedColumnFormula>IF(TablaAsistidos[[#This Row],[Fecha requerida]]="","N",IF(TablaAsistidos[[#This Row],[Fecha requerida]]&lt;=DATE(2026,4,30),"S","N"))</calculatedColumnFormula>
    </tableColumn>
  </tableColumns>
  <tableStyleInfo name="TableStyleLight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81832A68-C3F9-4EF0-8B11-1007AD3B81C0}" name="TablaMigracion" displayName="TablaMigracion" ref="D2:U35" totalsRowShown="0" headerRowDxfId="63" dataDxfId="62">
  <autoFilter ref="D2:U35" xr:uid="{81832A68-C3F9-4EF0-8B11-1007AD3B81C0}">
    <filterColumn colId="8">
      <filters>
        <dateGroupItem year="2026" month="2" dateTimeGrouping="month"/>
        <dateGroupItem year="2026" month="3" dateTimeGrouping="month"/>
        <dateGroupItem year="2026" month="4" dateTimeGrouping="month"/>
      </filters>
    </filterColumn>
    <filterColumn colId="14">
      <filters>
        <filter val="4.Resuelta"/>
      </filters>
    </filterColumn>
  </autoFilter>
  <tableColumns count="18">
    <tableColumn id="1" xr3:uid="{F4445BAB-16BA-4022-B2EB-F7718D42DC73}" name="Artefacto" dataDxfId="61"/>
    <tableColumn id="3" xr3:uid="{86DA74CE-0057-4431-AA16-D1955EB455F3}" name="fila2" dataDxfId="60"/>
    <tableColumn id="2" xr3:uid="{5114BC86-EADA-4EAC-A9FF-7230570D61B9}" name="Frente con dependencia" dataDxfId="59"/>
    <tableColumn id="4" xr3:uid="{E7B55106-1A5C-439D-974C-56B262D37C40}" name="Frente proveedor" dataDxfId="58"/>
    <tableColumn id="5" xr3:uid="{D14B6B64-0553-4618-B4EF-D150A2567698}" name="Dependencia" dataDxfId="57"/>
    <tableColumn id="6" xr3:uid="{FC6AC45E-AC51-4550-B129-21CA81FD54F4}" name="Descripción" dataDxfId="56"/>
    <tableColumn id="11" xr3:uid="{21B39EED-5A96-49A3-A530-F387B2F691D5}" name="Tipo de dependencia" dataDxfId="55"/>
    <tableColumn id="15" xr3:uid="{4389249F-EF73-4B59-A0CF-5B148F6CC426}" name="Criticidad" dataDxfId="54"/>
    <tableColumn id="9" xr3:uid="{505B01E7-A8D1-4A46-A4A1-AF6F74CE0683}" name="Fecha requerida" dataDxfId="53"/>
    <tableColumn id="18" xr3:uid="{D29C2C84-D0AD-4941-B6C0-75D2CA3790FD}" name="Fecha Nueva" dataDxfId="52"/>
    <tableColumn id="7" xr3:uid="{E55FE7E3-D18D-491C-913F-BFD49D4F4D71}" name="Fecha acordada" dataDxfId="51"/>
    <tableColumn id="13" xr3:uid="{9798D373-26A7-47C1-9D81-EB513AABF453}" name="Plan de mitigación" dataDxfId="50"/>
    <tableColumn id="17" xr3:uid="{64A89663-0264-44BA-8287-60C68B5A28DC}" name="Responsable" dataDxfId="49"/>
    <tableColumn id="8" xr3:uid="{4360F33A-0969-4640-A471-167D6FB2329E}" name="Revisado por PMO" dataDxfId="48"/>
    <tableColumn id="16" xr3:uid="{E3718276-FDB8-4BA1-8062-BE0B943A3AF1}" name="Estado" dataDxfId="47"/>
    <tableColumn id="10" xr3:uid="{1DD53472-DECF-471F-A150-E45E8F6B72C1}" name="BBLOCK" dataDxfId="46"/>
    <tableColumn id="12" xr3:uid="{1C550FB5-B81A-447E-A435-F7E8557EEDCE}" name="Comentario PMO" dataDxfId="45"/>
    <tableColumn id="14" xr3:uid="{B90F116C-2D93-4290-9B26-8EE775958442}" name="VENCIO_30_04" dataDxfId="44">
      <calculatedColumnFormula>IF(TablaMigracion[[#This Row],[Fecha requerida]]="","N",IF(TablaMigracion[[#This Row],[Fecha requerida]]&lt;=DATE(2026,4,30),"S","N"))</calculatedColumnFormula>
    </tableColumn>
  </tableColumns>
  <tableStyleInfo name="TableStyleLight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29ABCCF-C859-4820-85FC-025B2F41BAA1}" name="TablaIntegracion" displayName="TablaIntegracion" ref="D2:U17" totalsRowShown="0" headerRowDxfId="43" dataDxfId="42">
  <autoFilter ref="D2:U17" xr:uid="{729ABCCF-C859-4820-85FC-025B2F41BAA1}">
    <filterColumn colId="8">
      <customFilters>
        <customFilter operator="notEqual" val=" "/>
      </customFilters>
    </filterColumn>
  </autoFilter>
  <tableColumns count="18">
    <tableColumn id="1" xr3:uid="{08710F08-0AFB-45B0-9A31-3748F9051455}" name="Artefacto" dataDxfId="41"/>
    <tableColumn id="3" xr3:uid="{12D1DF67-33D7-4669-A3C4-AF1D3DAAF899}" name="fila2" dataDxfId="40"/>
    <tableColumn id="2" xr3:uid="{BF09A19E-AE6E-4231-93F8-E2E8E58B308D}" name="Frente con dependencia" dataDxfId="39"/>
    <tableColumn id="4" xr3:uid="{7665A70A-6CED-4512-BD32-37802E1CA9BE}" name="Frente proveedor" dataDxfId="38"/>
    <tableColumn id="5" xr3:uid="{B393629A-515C-4789-969D-861B61B32EE8}" name="Dependencia" dataDxfId="37"/>
    <tableColumn id="6" xr3:uid="{6F3FDE8C-BEAC-430B-B4B4-6B6EB9CD4942}" name="Descripción" dataDxfId="36"/>
    <tableColumn id="11" xr3:uid="{95D838EB-B0EF-4F9F-824A-09209751676D}" name="Tipo de dependencia" dataDxfId="35"/>
    <tableColumn id="15" xr3:uid="{0292CD68-CA6A-41A9-9675-E8A888B34263}" name="Criticidad" dataDxfId="34"/>
    <tableColumn id="9" xr3:uid="{2F28809C-0582-4C2A-A7FA-63E257706F66}" name="Fecha requerida" dataDxfId="33"/>
    <tableColumn id="18" xr3:uid="{C5A18DFD-7752-4C15-B7D0-AFD26B687362}" name="Fecha Nueva" dataDxfId="32"/>
    <tableColumn id="7" xr3:uid="{0248686F-5C96-452C-8E68-4E3B56D906C1}" name="Fecha acordada" dataDxfId="31"/>
    <tableColumn id="13" xr3:uid="{C0E89D5B-4B4D-42DD-A3A7-466ED3BD92E5}" name="Plan de mitigación" dataDxfId="30"/>
    <tableColumn id="17" xr3:uid="{833D5650-909A-463C-B062-03204E71B750}" name="Responsable" dataDxfId="29"/>
    <tableColumn id="8" xr3:uid="{370E78E7-1602-4B96-9216-02AC71AF56D8}" name="Revisado por PMO" dataDxfId="28"/>
    <tableColumn id="16" xr3:uid="{7943F071-7D86-488A-8A4D-1BE683FA77A1}" name="Estado" dataDxfId="27"/>
    <tableColumn id="10" xr3:uid="{92DC0440-C561-453F-A2A4-38DBEAEFD350}" name="BBLOCK" dataDxfId="26"/>
    <tableColumn id="12" xr3:uid="{9A112D08-49D6-491D-B778-D1363737E665}" name="Comentario PMO" dataDxfId="25"/>
    <tableColumn id="14" xr3:uid="{2A6746CD-63BA-47FD-9080-37B996C0487E}" name="VENCIO_30_04" dataDxfId="24">
      <calculatedColumnFormula>IF(TablaIntegracion[[#This Row],[Fecha requerida]]="","N",IF(TablaIntegracion[[#This Row],[Fecha requerida]]&lt;=DATE(2026,4,30),"S","N"))</calculatedColumnFormula>
    </tableColumn>
  </tableColumns>
  <tableStyleInfo name="TableStyleLight9"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3AE41EB-2F9F-46F4-AB84-A327D0411A3F}" name="TablaData" displayName="TablaData" ref="D1:U13" totalsRowShown="0" headerRowDxfId="23" dataDxfId="22">
  <tableColumns count="18">
    <tableColumn id="1" xr3:uid="{BB600FB9-D3AA-430D-B0A6-B016E00D1305}" name="Artefacto" dataDxfId="21"/>
    <tableColumn id="3" xr3:uid="{38CCC71E-8E82-4472-B630-C86B9B937CAF}" name="fila2" dataDxfId="20"/>
    <tableColumn id="2" xr3:uid="{39BD6E8F-4F1E-4A32-99FE-B8B3A3B1FB44}" name="Frente con dependencia" dataDxfId="19"/>
    <tableColumn id="4" xr3:uid="{51D57710-1E6C-47A8-9C62-9FD2CA6E07D3}" name="Frente proveedor" dataDxfId="18"/>
    <tableColumn id="5" xr3:uid="{6534DC11-8DA8-419A-9134-D39F7F2E9986}" name="Dependencia" dataDxfId="17"/>
    <tableColumn id="6" xr3:uid="{BB031A3A-7E13-43C5-909C-2207B4E58DD8}" name="Descripción" dataDxfId="16"/>
    <tableColumn id="11" xr3:uid="{A00766D7-CF70-422C-8D6A-E1B5EEB7B56D}" name="Tipo de dependencia" dataDxfId="15"/>
    <tableColumn id="15" xr3:uid="{857993E3-679D-4C81-8D9A-B04E61568B50}" name="Criticidad" dataDxfId="14"/>
    <tableColumn id="9" xr3:uid="{EF888CE4-988C-491B-A66D-C28DFE424398}" name="Fecha requerida" dataDxfId="13"/>
    <tableColumn id="18" xr3:uid="{549B3253-3C01-4722-9212-43055A7C3DC5}" name="Fecha Nueva" dataDxfId="12"/>
    <tableColumn id="7" xr3:uid="{D3E3CFB0-EC66-4EA7-914C-DAD86577CB42}" name="Fecha acordada" dataDxfId="11"/>
    <tableColumn id="13" xr3:uid="{96FCD40B-9761-47B7-A77A-BE30597B891E}" name="Plan de mitigación" dataDxfId="10"/>
    <tableColumn id="17" xr3:uid="{ED8EC2D5-12DB-4A13-B1E5-61918E9C4A02}" name="Responsable" dataDxfId="9"/>
    <tableColumn id="8" xr3:uid="{C576F475-C870-4916-8E98-47E88FFEB853}" name="Revisado por PMO" dataDxfId="8"/>
    <tableColumn id="16" xr3:uid="{2B330CF6-F538-467D-9B88-A22B568662B9}" name="Estado" dataDxfId="7"/>
    <tableColumn id="10" xr3:uid="{E8DAB9DC-2850-4B39-9A46-97FBFE236A18}" name="BBLOCK" dataDxfId="6"/>
    <tableColumn id="12" xr3:uid="{B34F0FCD-1583-499A-9F65-790F41D56693}" name="Comentario PMO" dataDxfId="5"/>
    <tableColumn id="14" xr3:uid="{181174D7-F6DD-4C06-8719-FEE4793DB2A1}" name="VENCIO_30_04" dataDxfId="4">
      <calculatedColumnFormula>IF(TablaData[[#This Row],[Fecha requerida]]="","N",IF(TablaData[[#This Row],[Fecha requerida]]&lt;=DATE(2026,4,30),"S","N"))</calculatedColumnFormula>
    </tableColumn>
  </tableColumns>
  <tableStyleInfo name="TableStyleLight9"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E98414E-951F-4AD8-B5C3-721543B2A9C3}" name="Tabla2" displayName="Tabla2" ref="B2:D8" totalsRowShown="0">
  <autoFilter ref="B2:D8" xr:uid="{0E98414E-951F-4AD8-B5C3-721543B2A9C3}"/>
  <tableColumns count="3">
    <tableColumn id="1" xr3:uid="{0699CB2C-7315-46D6-A476-855A389B5310}" name="Tipo"/>
    <tableColumn id="2" xr3:uid="{A8D709C2-AA0B-40A1-AC87-620826CED982}" name="Criticidad"/>
    <tableColumn id="3" xr3:uid="{70A14AD4-8215-4F20-B524-656CB850F417}" name="Estado"/>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O3" dT="2026-03-04T22:04:07.36" personId="{5EE46BE5-DD9D-4892-BAC9-6B3572BCE2D9}" id="{ECA83568-3934-4567-A953-86559B94AEEE}">
    <text xml:space="preserve">PMO
</text>
  </threadedComment>
</ThreadedComments>
</file>

<file path=xl/threadedComments/threadedComment2.xml><?xml version="1.0" encoding="utf-8"?>
<ThreadedComments xmlns="http://schemas.microsoft.com/office/spreadsheetml/2018/threadedcomments" xmlns:x="http://schemas.openxmlformats.org/spreadsheetml/2006/main">
  <threadedComment ref="O2" dT="2026-03-04T22:04:07.36" personId="{5EE46BE5-DD9D-4892-BAC9-6B3572BCE2D9}" id="{73F6E5B7-7B91-48D6-822F-5CDFDB74AD59}">
    <text xml:space="preserve">PMO
</text>
  </threadedComment>
</ThreadedComments>
</file>

<file path=xl/threadedComments/threadedComment3.xml><?xml version="1.0" encoding="utf-8"?>
<ThreadedComments xmlns="http://schemas.microsoft.com/office/spreadsheetml/2018/threadedcomments" xmlns:x="http://schemas.openxmlformats.org/spreadsheetml/2006/main">
  <threadedComment ref="O2" dT="2026-03-04T22:04:07.36" personId="{5EE46BE5-DD9D-4892-BAC9-6B3572BCE2D9}" id="{526AA855-767B-408B-ACB1-68037CE66822}">
    <text xml:space="preserve">PMO
</text>
  </threadedComment>
</ThreadedComments>
</file>

<file path=xl/threadedComments/threadedComment4.xml><?xml version="1.0" encoding="utf-8"?>
<ThreadedComments xmlns="http://schemas.microsoft.com/office/spreadsheetml/2018/threadedcomments" xmlns:x="http://schemas.openxmlformats.org/spreadsheetml/2006/main">
  <threadedComment ref="L2" dT="2026-03-04T22:04:07.36" personId="{5EE46BE5-DD9D-4892-BAC9-6B3572BCE2D9}" id="{6A657438-DCF9-4FFE-BEB5-0480EE816643}">
    <text xml:space="preserve">PMO
</text>
  </threadedComment>
</ThreadedComments>
</file>

<file path=xl/threadedComments/threadedComment5.xml><?xml version="1.0" encoding="utf-8"?>
<ThreadedComments xmlns="http://schemas.microsoft.com/office/spreadsheetml/2018/threadedcomments" xmlns:x="http://schemas.openxmlformats.org/spreadsheetml/2006/main">
  <threadedComment ref="O3" dT="2026-03-04T22:04:07.36" personId="{5EE46BE5-DD9D-4892-BAC9-6B3572BCE2D9}" id="{F4C923E3-6C8B-4F43-A394-8F66F39B55AB}">
    <text xml:space="preserve">PMO
</text>
  </threadedComment>
</ThreadedComments>
</file>

<file path=xl/threadedComments/threadedComment6.xml><?xml version="1.0" encoding="utf-8"?>
<ThreadedComments xmlns="http://schemas.microsoft.com/office/spreadsheetml/2018/threadedcomments" xmlns:x="http://schemas.openxmlformats.org/spreadsheetml/2006/main">
  <threadedComment ref="O2" dT="2026-03-04T22:04:07.36" personId="{5EE46BE5-DD9D-4892-BAC9-6B3572BCE2D9}" id="{07AB2BBB-246B-412A-A3CB-1410652E2F3C}">
    <text xml:space="preserve">PMO
</text>
  </threadedComment>
</ThreadedComments>
</file>

<file path=xl/threadedComments/threadedComment7.xml><?xml version="1.0" encoding="utf-8"?>
<ThreadedComments xmlns="http://schemas.microsoft.com/office/spreadsheetml/2018/threadedcomments" xmlns:x="http://schemas.openxmlformats.org/spreadsheetml/2006/main">
  <threadedComment ref="O2" dT="2026-03-04T22:04:07.36" personId="{5EE46BE5-DD9D-4892-BAC9-6B3572BCE2D9}" id="{51D93492-8505-4FEF-9DBA-E92C9D90717A}">
    <text xml:space="preserve">PMO
</text>
  </threadedComment>
</ThreadedComments>
</file>

<file path=xl/threadedComments/threadedComment8.xml><?xml version="1.0" encoding="utf-8"?>
<ThreadedComments xmlns="http://schemas.microsoft.com/office/spreadsheetml/2018/threadedcomments" xmlns:x="http://schemas.openxmlformats.org/spreadsheetml/2006/main">
  <threadedComment ref="O1" dT="2026-03-04T22:04:07.36" personId="{5EE46BE5-DD9D-4892-BAC9-6B3572BCE2D9}" id="{B65AC21F-1988-442D-B0B9-1106FB43526A}">
    <text xml:space="preserve">PMO
</text>
  </threadedComment>
</ThreadedComments>
</file>

<file path=xl/threadedComments/threadedComment9.xml><?xml version="1.0" encoding="utf-8"?>
<ThreadedComments xmlns="http://schemas.microsoft.com/office/spreadsheetml/2018/threadedcomments" xmlns:x="http://schemas.openxmlformats.org/spreadsheetml/2006/main">
  <threadedComment ref="M1" dT="2026-03-04T22:04:07.36" personId="{5EE46BE5-DD9D-4892-BAC9-6B3572BCE2D9}" id="{93CBDFC7-3917-4C77-8B5D-4B86897B431C}">
    <text xml:space="preserve">PMO
</text>
  </threadedComment>
</ThreadedComment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3.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4.xml"/><Relationship Id="rId1" Type="http://schemas.openxmlformats.org/officeDocument/2006/relationships/vmlDrawing" Target="../drawings/vmlDrawing3.vml"/><Relationship Id="rId4"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11.xml"/><Relationship Id="rId1" Type="http://schemas.openxmlformats.org/officeDocument/2006/relationships/vmlDrawing" Target="../drawings/vmlDrawing4.vml"/><Relationship Id="rId4" Type="http://schemas.microsoft.com/office/2017/10/relationships/threadedComment" Target="../threadedComments/threadedComment4.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vmlDrawing" Target="../drawings/vmlDrawing5.vml"/><Relationship Id="rId1" Type="http://schemas.openxmlformats.org/officeDocument/2006/relationships/pivotTable" Target="../pivotTables/pivotTable2.xml"/><Relationship Id="rId6" Type="http://schemas.microsoft.com/office/2019/04/relationships/namedSheetView" Target="../namedSheetViews/namedSheetView1.xml"/><Relationship Id="rId5" Type="http://schemas.microsoft.com/office/2017/10/relationships/threadedComment" Target="../threadedComments/threadedComment5.xml"/><Relationship Id="rId4" Type="http://schemas.openxmlformats.org/officeDocument/2006/relationships/comments" Target="../comments5.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vmlDrawing" Target="../drawings/vmlDrawing6.vml"/><Relationship Id="rId1" Type="http://schemas.openxmlformats.org/officeDocument/2006/relationships/printerSettings" Target="../printerSettings/printerSettings1.bin"/><Relationship Id="rId5" Type="http://schemas.microsoft.com/office/2017/10/relationships/threadedComment" Target="../threadedComments/threadedComment6.xml"/><Relationship Id="rId4" Type="http://schemas.openxmlformats.org/officeDocument/2006/relationships/comments" Target="../comments6.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table" Target="../tables/table14.xml"/><Relationship Id="rId1" Type="http://schemas.openxmlformats.org/officeDocument/2006/relationships/vmlDrawing" Target="../drawings/vmlDrawing7.vml"/><Relationship Id="rId4" Type="http://schemas.microsoft.com/office/2017/10/relationships/threadedComment" Target="../threadedComments/threadedComment7.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table" Target="../tables/table15.xml"/><Relationship Id="rId1" Type="http://schemas.openxmlformats.org/officeDocument/2006/relationships/vmlDrawing" Target="../drawings/vmlDrawing8.vml"/><Relationship Id="rId4" Type="http://schemas.microsoft.com/office/2017/10/relationships/threadedComment" Target="../threadedComments/threadedComment8.xml"/></Relationships>
</file>

<file path=xl/worksheets/_rels/sheet19.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20.xml.rels><?xml version="1.0" encoding="UTF-8" standalone="yes"?>
<Relationships xmlns="http://schemas.openxmlformats.org/package/2006/relationships"><Relationship Id="rId3" Type="http://schemas.microsoft.com/office/2017/10/relationships/threadedComment" Target="../threadedComments/threadedComment9.xml"/><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22.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23.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24.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7FA0A-BE5A-4F9C-ACE0-912FC1200296}">
  <dimension ref="B2:D15"/>
  <sheetViews>
    <sheetView showGridLines="0" workbookViewId="0">
      <pane ySplit="1" topLeftCell="A2" activePane="bottomLeft" state="frozen"/>
      <selection pane="bottomLeft" activeCell="E58" sqref="E58"/>
    </sheetView>
  </sheetViews>
  <sheetFormatPr baseColWidth="10" defaultColWidth="11.453125" defaultRowHeight="14.5"/>
  <cols>
    <col min="2" max="2" width="17.1796875" customWidth="1"/>
    <col min="3" max="3" width="9.54296875" bestFit="1" customWidth="1"/>
    <col min="4" max="4" width="23.453125" customWidth="1"/>
    <col min="5" max="5" width="51.453125" bestFit="1" customWidth="1"/>
    <col min="6" max="6" width="10" bestFit="1" customWidth="1"/>
    <col min="7" max="7" width="8" bestFit="1" customWidth="1"/>
    <col min="8" max="8" width="10.453125" bestFit="1" customWidth="1"/>
    <col min="9" max="9" width="12.1796875" bestFit="1" customWidth="1"/>
    <col min="10" max="10" width="14" bestFit="1" customWidth="1"/>
    <col min="11" max="11" width="10.1796875" bestFit="1" customWidth="1"/>
    <col min="12" max="12" width="16.453125" bestFit="1" customWidth="1"/>
    <col min="13" max="13" width="11.54296875" bestFit="1" customWidth="1"/>
    <col min="14" max="14" width="11.81640625" bestFit="1" customWidth="1"/>
  </cols>
  <sheetData>
    <row r="2" spans="2:4">
      <c r="B2" s="103" t="s">
        <v>0</v>
      </c>
      <c r="C2" s="67" t="s">
        <v>1</v>
      </c>
      <c r="D2" s="67" t="s">
        <v>2</v>
      </c>
    </row>
    <row r="3" spans="2:4">
      <c r="B3" s="104" t="s">
        <v>3</v>
      </c>
      <c r="C3" s="105"/>
      <c r="D3" s="106"/>
    </row>
    <row r="4" spans="2:4">
      <c r="B4" s="104" t="s">
        <v>4</v>
      </c>
      <c r="C4" s="105"/>
      <c r="D4" s="106"/>
    </row>
    <row r="5" spans="2:4">
      <c r="B5" s="104" t="s">
        <v>5</v>
      </c>
      <c r="C5" s="105"/>
      <c r="D5" s="106"/>
    </row>
    <row r="6" spans="2:4">
      <c r="B6" s="104" t="s">
        <v>6</v>
      </c>
      <c r="C6" s="105"/>
      <c r="D6" s="106"/>
    </row>
    <row r="7" spans="2:4">
      <c r="B7" s="104" t="s">
        <v>7</v>
      </c>
      <c r="C7" s="105"/>
      <c r="D7" s="106"/>
    </row>
    <row r="8" spans="2:4">
      <c r="B8" s="104" t="s">
        <v>8</v>
      </c>
      <c r="C8" s="105"/>
      <c r="D8" s="106"/>
    </row>
    <row r="9" spans="2:4">
      <c r="B9" s="104" t="s">
        <v>9</v>
      </c>
      <c r="C9" s="105"/>
      <c r="D9" s="106"/>
    </row>
    <row r="10" spans="2:4">
      <c r="B10" s="104" t="s">
        <v>10</v>
      </c>
      <c r="C10" s="105"/>
      <c r="D10" s="106"/>
    </row>
    <row r="11" spans="2:4" ht="29">
      <c r="B11" s="107" t="s">
        <v>11</v>
      </c>
      <c r="C11" s="105"/>
      <c r="D11" s="106"/>
    </row>
    <row r="12" spans="2:4" ht="29">
      <c r="B12" s="104" t="s">
        <v>12</v>
      </c>
      <c r="C12" s="105" t="s">
        <v>13</v>
      </c>
      <c r="D12" s="109" t="s">
        <v>14</v>
      </c>
    </row>
    <row r="13" spans="2:4">
      <c r="B13" s="104" t="s">
        <v>15</v>
      </c>
      <c r="C13" s="105" t="s">
        <v>13</v>
      </c>
      <c r="D13" s="106"/>
    </row>
    <row r="14" spans="2:4">
      <c r="B14" s="104" t="s">
        <v>16</v>
      </c>
      <c r="C14" s="105" t="s">
        <v>13</v>
      </c>
      <c r="D14" s="106"/>
    </row>
    <row r="15" spans="2:4">
      <c r="B15" s="108" t="s">
        <v>17</v>
      </c>
      <c r="C15" s="108" t="s">
        <v>18</v>
      </c>
      <c r="D15" s="10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585D0-F681-4545-BC20-11B4C11C8FD0}">
  <dimension ref="A1:O22"/>
  <sheetViews>
    <sheetView zoomScale="80" zoomScaleNormal="80" workbookViewId="0">
      <selection activeCell="A15" sqref="A15"/>
    </sheetView>
  </sheetViews>
  <sheetFormatPr baseColWidth="10" defaultColWidth="11.453125" defaultRowHeight="14.5"/>
  <cols>
    <col min="1" max="1" width="11" bestFit="1" customWidth="1"/>
    <col min="2" max="2" width="11.54296875" customWidth="1"/>
    <col min="3" max="3" width="23.453125" bestFit="1" customWidth="1"/>
    <col min="4" max="4" width="17.1796875" bestFit="1" customWidth="1"/>
    <col min="5" max="5" width="34.453125" bestFit="1" customWidth="1"/>
    <col min="6" max="6" width="95.453125" bestFit="1" customWidth="1"/>
    <col min="7" max="7" width="20.54296875" bestFit="1" customWidth="1"/>
    <col min="8" max="8" width="11.453125" bestFit="1" customWidth="1"/>
    <col min="9" max="9" width="16.54296875" bestFit="1" customWidth="1"/>
    <col min="10" max="10" width="16.453125" bestFit="1" customWidth="1"/>
    <col min="11" max="11" width="18.54296875" bestFit="1" customWidth="1"/>
    <col min="12" max="12" width="13.81640625" bestFit="1" customWidth="1"/>
    <col min="13" max="13" width="18" bestFit="1" customWidth="1"/>
    <col min="14" max="14" width="11" bestFit="1" customWidth="1"/>
    <col min="15" max="15" width="15.1796875" bestFit="1" customWidth="1"/>
  </cols>
  <sheetData>
    <row r="1" spans="1:15">
      <c r="A1" s="65" t="s">
        <v>19</v>
      </c>
    </row>
    <row r="3" spans="1:15">
      <c r="A3" t="s">
        <v>20</v>
      </c>
      <c r="B3" t="s">
        <v>21</v>
      </c>
      <c r="C3" t="s">
        <v>22</v>
      </c>
      <c r="D3" t="s">
        <v>23</v>
      </c>
      <c r="E3" t="s">
        <v>24</v>
      </c>
      <c r="F3" t="s">
        <v>25</v>
      </c>
      <c r="G3" t="s">
        <v>26</v>
      </c>
      <c r="H3" t="s">
        <v>27</v>
      </c>
      <c r="I3" t="s">
        <v>28</v>
      </c>
      <c r="J3" t="s">
        <v>29</v>
      </c>
      <c r="K3" t="s">
        <v>30</v>
      </c>
      <c r="L3" t="s">
        <v>31</v>
      </c>
      <c r="M3" t="s">
        <v>32</v>
      </c>
      <c r="N3" t="s">
        <v>33</v>
      </c>
      <c r="O3" t="s">
        <v>34</v>
      </c>
    </row>
    <row r="4" spans="1:15">
      <c r="A4" t="s">
        <v>35</v>
      </c>
      <c r="B4" t="s">
        <v>36</v>
      </c>
      <c r="C4" t="s">
        <v>37</v>
      </c>
      <c r="D4" t="s">
        <v>38</v>
      </c>
      <c r="E4" t="s">
        <v>39</v>
      </c>
      <c r="F4" t="s">
        <v>40</v>
      </c>
      <c r="G4" t="s">
        <v>41</v>
      </c>
      <c r="H4" t="s">
        <v>42</v>
      </c>
      <c r="I4" s="74">
        <v>46204</v>
      </c>
      <c r="J4" t="s">
        <v>43</v>
      </c>
      <c r="L4" t="s">
        <v>44</v>
      </c>
      <c r="M4" t="b">
        <v>0</v>
      </c>
      <c r="N4" t="s">
        <v>45</v>
      </c>
      <c r="O4" t="s">
        <v>46</v>
      </c>
    </row>
    <row r="5" spans="1:15">
      <c r="A5" t="s">
        <v>35</v>
      </c>
      <c r="B5" t="s">
        <v>47</v>
      </c>
      <c r="C5" t="s">
        <v>37</v>
      </c>
      <c r="D5" t="s">
        <v>38</v>
      </c>
      <c r="E5" t="s">
        <v>39</v>
      </c>
      <c r="F5" t="s">
        <v>40</v>
      </c>
      <c r="G5" t="s">
        <v>41</v>
      </c>
      <c r="H5" t="s">
        <v>42</v>
      </c>
      <c r="I5" s="74">
        <v>46204</v>
      </c>
      <c r="J5" t="s">
        <v>43</v>
      </c>
      <c r="L5" t="s">
        <v>44</v>
      </c>
      <c r="M5" t="b">
        <v>0</v>
      </c>
      <c r="N5" t="s">
        <v>45</v>
      </c>
      <c r="O5" t="s">
        <v>46</v>
      </c>
    </row>
    <row r="6" spans="1:15">
      <c r="A6" t="s">
        <v>35</v>
      </c>
      <c r="B6" t="s">
        <v>48</v>
      </c>
      <c r="C6" t="s">
        <v>37</v>
      </c>
      <c r="D6" t="s">
        <v>38</v>
      </c>
      <c r="E6" t="s">
        <v>39</v>
      </c>
      <c r="F6" t="s">
        <v>40</v>
      </c>
      <c r="G6" t="s">
        <v>41</v>
      </c>
      <c r="H6" t="s">
        <v>42</v>
      </c>
      <c r="I6" s="74">
        <v>46204</v>
      </c>
      <c r="J6" t="s">
        <v>43</v>
      </c>
      <c r="L6" t="s">
        <v>44</v>
      </c>
      <c r="M6" t="b">
        <v>0</v>
      </c>
      <c r="N6" t="s">
        <v>45</v>
      </c>
      <c r="O6" t="s">
        <v>46</v>
      </c>
    </row>
    <row r="7" spans="1:15">
      <c r="A7" t="s">
        <v>35</v>
      </c>
      <c r="B7" t="s">
        <v>49</v>
      </c>
      <c r="C7" t="s">
        <v>37</v>
      </c>
      <c r="D7" t="s">
        <v>38</v>
      </c>
      <c r="E7" t="s">
        <v>39</v>
      </c>
      <c r="F7" t="s">
        <v>40</v>
      </c>
      <c r="G7" t="s">
        <v>41</v>
      </c>
      <c r="H7" t="s">
        <v>42</v>
      </c>
      <c r="I7" s="74">
        <v>46204</v>
      </c>
      <c r="J7" t="s">
        <v>43</v>
      </c>
      <c r="L7" t="s">
        <v>44</v>
      </c>
      <c r="M7" t="b">
        <v>0</v>
      </c>
      <c r="N7" t="s">
        <v>45</v>
      </c>
      <c r="O7" t="s">
        <v>46</v>
      </c>
    </row>
    <row r="8" spans="1:15">
      <c r="A8" t="s">
        <v>35</v>
      </c>
      <c r="B8" t="s">
        <v>50</v>
      </c>
      <c r="C8" t="s">
        <v>37</v>
      </c>
      <c r="D8" t="s">
        <v>38</v>
      </c>
      <c r="E8" t="s">
        <v>39</v>
      </c>
      <c r="F8" t="s">
        <v>40</v>
      </c>
      <c r="G8" t="s">
        <v>41</v>
      </c>
      <c r="H8" t="s">
        <v>42</v>
      </c>
      <c r="I8" s="74">
        <v>46204</v>
      </c>
      <c r="J8" t="s">
        <v>43</v>
      </c>
      <c r="L8" t="s">
        <v>44</v>
      </c>
      <c r="M8" t="b">
        <v>0</v>
      </c>
      <c r="N8" t="s">
        <v>45</v>
      </c>
      <c r="O8" t="s">
        <v>46</v>
      </c>
    </row>
    <row r="9" spans="1:15">
      <c r="A9" t="s">
        <v>35</v>
      </c>
      <c r="B9" t="s">
        <v>36</v>
      </c>
      <c r="C9" t="s">
        <v>37</v>
      </c>
      <c r="D9" t="s">
        <v>51</v>
      </c>
      <c r="E9" t="s">
        <v>52</v>
      </c>
      <c r="F9" t="s">
        <v>53</v>
      </c>
      <c r="G9" t="s">
        <v>41</v>
      </c>
      <c r="H9" t="s">
        <v>42</v>
      </c>
      <c r="I9" s="74">
        <v>46204</v>
      </c>
      <c r="J9" s="74">
        <v>46310</v>
      </c>
      <c r="L9" t="s">
        <v>44</v>
      </c>
      <c r="M9" t="b">
        <v>0</v>
      </c>
      <c r="N9" t="s">
        <v>45</v>
      </c>
      <c r="O9" t="s">
        <v>46</v>
      </c>
    </row>
    <row r="10" spans="1:15">
      <c r="A10" t="s">
        <v>35</v>
      </c>
      <c r="B10" t="s">
        <v>54</v>
      </c>
      <c r="C10" t="s">
        <v>37</v>
      </c>
      <c r="D10" t="s">
        <v>51</v>
      </c>
      <c r="E10" t="s">
        <v>52</v>
      </c>
      <c r="F10" t="s">
        <v>53</v>
      </c>
      <c r="G10" t="s">
        <v>41</v>
      </c>
      <c r="H10" t="s">
        <v>42</v>
      </c>
      <c r="I10" s="74">
        <v>46204</v>
      </c>
      <c r="J10" s="74">
        <v>46310</v>
      </c>
      <c r="L10" t="s">
        <v>44</v>
      </c>
      <c r="M10" t="b">
        <v>0</v>
      </c>
      <c r="N10" t="s">
        <v>45</v>
      </c>
      <c r="O10" t="s">
        <v>46</v>
      </c>
    </row>
    <row r="11" spans="1:15">
      <c r="A11" t="s">
        <v>35</v>
      </c>
      <c r="B11" t="s">
        <v>55</v>
      </c>
      <c r="C11" t="s">
        <v>37</v>
      </c>
      <c r="D11" t="s">
        <v>56</v>
      </c>
      <c r="E11" t="s">
        <v>57</v>
      </c>
      <c r="F11" t="s">
        <v>58</v>
      </c>
      <c r="G11" t="s">
        <v>41</v>
      </c>
      <c r="H11" t="s">
        <v>59</v>
      </c>
      <c r="I11" s="74">
        <v>46142</v>
      </c>
      <c r="J11" t="s">
        <v>43</v>
      </c>
      <c r="L11" t="s">
        <v>44</v>
      </c>
      <c r="M11" t="b">
        <v>0</v>
      </c>
      <c r="N11" t="s">
        <v>45</v>
      </c>
      <c r="O11" t="s">
        <v>46</v>
      </c>
    </row>
    <row r="12" spans="1:15">
      <c r="A12" t="s">
        <v>35</v>
      </c>
      <c r="B12" t="s">
        <v>60</v>
      </c>
      <c r="C12" t="s">
        <v>37</v>
      </c>
      <c r="D12" t="s">
        <v>56</v>
      </c>
      <c r="E12" t="s">
        <v>57</v>
      </c>
      <c r="F12" t="s">
        <v>58</v>
      </c>
      <c r="G12" t="s">
        <v>41</v>
      </c>
      <c r="H12" t="s">
        <v>59</v>
      </c>
      <c r="I12" s="74">
        <v>46142</v>
      </c>
      <c r="J12" t="s">
        <v>43</v>
      </c>
      <c r="L12" t="s">
        <v>44</v>
      </c>
      <c r="M12" t="b">
        <v>0</v>
      </c>
      <c r="N12" t="s">
        <v>45</v>
      </c>
      <c r="O12" t="s">
        <v>46</v>
      </c>
    </row>
    <row r="13" spans="1:15">
      <c r="A13" t="s">
        <v>35</v>
      </c>
      <c r="B13" t="s">
        <v>61</v>
      </c>
      <c r="C13" t="s">
        <v>37</v>
      </c>
      <c r="D13" t="s">
        <v>5</v>
      </c>
      <c r="E13" t="s">
        <v>62</v>
      </c>
      <c r="F13" t="s">
        <v>63</v>
      </c>
      <c r="G13" t="s">
        <v>41</v>
      </c>
      <c r="H13" t="s">
        <v>42</v>
      </c>
      <c r="I13" s="74">
        <v>46185</v>
      </c>
      <c r="J13" t="s">
        <v>43</v>
      </c>
      <c r="L13" t="s">
        <v>44</v>
      </c>
      <c r="M13" t="b">
        <v>0</v>
      </c>
      <c r="N13" t="s">
        <v>45</v>
      </c>
      <c r="O13" t="s">
        <v>46</v>
      </c>
    </row>
    <row r="14" spans="1:15" ht="29">
      <c r="A14" t="s">
        <v>64</v>
      </c>
      <c r="B14" s="75" t="s">
        <v>65</v>
      </c>
      <c r="C14" t="s">
        <v>37</v>
      </c>
      <c r="D14" t="s">
        <v>15</v>
      </c>
      <c r="E14" t="s">
        <v>66</v>
      </c>
      <c r="F14" t="s">
        <v>67</v>
      </c>
      <c r="G14" t="s">
        <v>41</v>
      </c>
      <c r="H14" t="s">
        <v>42</v>
      </c>
      <c r="I14" s="74">
        <v>46104</v>
      </c>
      <c r="J14" t="s">
        <v>43</v>
      </c>
      <c r="L14" t="s">
        <v>44</v>
      </c>
      <c r="M14" t="b">
        <v>0</v>
      </c>
      <c r="N14" t="s">
        <v>68</v>
      </c>
      <c r="O14" t="s">
        <v>46</v>
      </c>
    </row>
    <row r="15" spans="1:15" ht="29">
      <c r="A15" t="s">
        <v>69</v>
      </c>
      <c r="B15" s="75" t="s">
        <v>70</v>
      </c>
      <c r="C15" t="s">
        <v>37</v>
      </c>
      <c r="D15" t="s">
        <v>15</v>
      </c>
      <c r="E15" t="s">
        <v>66</v>
      </c>
      <c r="F15" t="s">
        <v>71</v>
      </c>
      <c r="G15" t="s">
        <v>41</v>
      </c>
      <c r="H15" t="s">
        <v>42</v>
      </c>
      <c r="I15" s="74">
        <v>46104</v>
      </c>
      <c r="J15" t="s">
        <v>43</v>
      </c>
      <c r="L15" t="s">
        <v>44</v>
      </c>
      <c r="M15" t="b">
        <v>0</v>
      </c>
      <c r="N15" t="s">
        <v>68</v>
      </c>
      <c r="O15" t="s">
        <v>46</v>
      </c>
    </row>
    <row r="16" spans="1:15" ht="29">
      <c r="A16" t="s">
        <v>35</v>
      </c>
      <c r="B16" s="75" t="s">
        <v>72</v>
      </c>
      <c r="C16" t="s">
        <v>37</v>
      </c>
      <c r="D16" t="s">
        <v>8</v>
      </c>
      <c r="E16" t="s">
        <v>73</v>
      </c>
      <c r="F16" t="s">
        <v>74</v>
      </c>
      <c r="G16" t="s">
        <v>41</v>
      </c>
      <c r="H16" t="s">
        <v>42</v>
      </c>
      <c r="I16" s="74">
        <v>46204</v>
      </c>
      <c r="J16" t="s">
        <v>43</v>
      </c>
      <c r="L16" t="s">
        <v>44</v>
      </c>
      <c r="M16" t="b">
        <v>0</v>
      </c>
      <c r="N16" t="s">
        <v>75</v>
      </c>
      <c r="O16" t="s">
        <v>46</v>
      </c>
    </row>
    <row r="17" spans="1:15">
      <c r="A17" t="s">
        <v>35</v>
      </c>
      <c r="B17" t="s">
        <v>47</v>
      </c>
      <c r="C17" t="s">
        <v>37</v>
      </c>
      <c r="D17" t="s">
        <v>8</v>
      </c>
      <c r="E17" t="s">
        <v>73</v>
      </c>
      <c r="F17" t="s">
        <v>74</v>
      </c>
      <c r="G17" t="s">
        <v>41</v>
      </c>
      <c r="H17" t="s">
        <v>42</v>
      </c>
      <c r="I17" s="74">
        <v>46204</v>
      </c>
      <c r="J17" t="s">
        <v>43</v>
      </c>
      <c r="L17" t="s">
        <v>44</v>
      </c>
      <c r="M17" t="b">
        <v>0</v>
      </c>
      <c r="N17" t="s">
        <v>75</v>
      </c>
      <c r="O17" t="s">
        <v>46</v>
      </c>
    </row>
    <row r="18" spans="1:15">
      <c r="A18" t="s">
        <v>35</v>
      </c>
      <c r="B18" t="s">
        <v>49</v>
      </c>
      <c r="C18" t="s">
        <v>37</v>
      </c>
      <c r="D18" t="s">
        <v>8</v>
      </c>
      <c r="E18" t="s">
        <v>73</v>
      </c>
      <c r="F18" t="s">
        <v>74</v>
      </c>
      <c r="G18" t="s">
        <v>41</v>
      </c>
      <c r="H18" t="s">
        <v>42</v>
      </c>
      <c r="I18" s="74">
        <v>46204</v>
      </c>
      <c r="J18" t="s">
        <v>43</v>
      </c>
      <c r="L18" t="s">
        <v>44</v>
      </c>
      <c r="M18" t="b">
        <v>0</v>
      </c>
      <c r="N18" t="s">
        <v>75</v>
      </c>
      <c r="O18" t="s">
        <v>46</v>
      </c>
    </row>
    <row r="19" spans="1:15">
      <c r="A19" t="s">
        <v>35</v>
      </c>
      <c r="B19" t="s">
        <v>47</v>
      </c>
      <c r="C19" t="s">
        <v>37</v>
      </c>
      <c r="D19" t="s">
        <v>15</v>
      </c>
      <c r="E19" t="s">
        <v>66</v>
      </c>
      <c r="F19" t="s">
        <v>71</v>
      </c>
      <c r="G19" t="s">
        <v>41</v>
      </c>
      <c r="H19" t="s">
        <v>42</v>
      </c>
      <c r="I19" s="74">
        <v>46104</v>
      </c>
      <c r="J19" t="s">
        <v>43</v>
      </c>
      <c r="L19" t="s">
        <v>44</v>
      </c>
      <c r="M19" t="b">
        <v>0</v>
      </c>
      <c r="N19" t="s">
        <v>68</v>
      </c>
      <c r="O19" t="s">
        <v>46</v>
      </c>
    </row>
    <row r="20" spans="1:15" ht="29">
      <c r="A20" t="s">
        <v>35</v>
      </c>
      <c r="B20" s="75" t="s">
        <v>72</v>
      </c>
      <c r="C20" t="s">
        <v>37</v>
      </c>
      <c r="D20" t="s">
        <v>15</v>
      </c>
      <c r="E20" t="s">
        <v>66</v>
      </c>
      <c r="F20" t="s">
        <v>71</v>
      </c>
      <c r="G20" t="s">
        <v>41</v>
      </c>
      <c r="H20" t="s">
        <v>42</v>
      </c>
      <c r="I20" s="74">
        <v>46104</v>
      </c>
      <c r="J20" t="s">
        <v>43</v>
      </c>
      <c r="L20" t="s">
        <v>44</v>
      </c>
      <c r="M20" t="b">
        <v>0</v>
      </c>
      <c r="N20" t="s">
        <v>68</v>
      </c>
      <c r="O20" t="s">
        <v>46</v>
      </c>
    </row>
    <row r="21" spans="1:15">
      <c r="A21" t="s">
        <v>35</v>
      </c>
      <c r="B21" t="s">
        <v>76</v>
      </c>
      <c r="C21" t="s">
        <v>37</v>
      </c>
      <c r="D21" t="s">
        <v>15</v>
      </c>
      <c r="E21" t="s">
        <v>77</v>
      </c>
      <c r="F21" t="s">
        <v>78</v>
      </c>
      <c r="G21" t="s">
        <v>41</v>
      </c>
      <c r="H21" t="s">
        <v>59</v>
      </c>
      <c r="I21" s="74">
        <v>46143</v>
      </c>
      <c r="J21" s="74">
        <v>46143</v>
      </c>
      <c r="L21" t="s">
        <v>44</v>
      </c>
      <c r="M21" t="b">
        <v>0</v>
      </c>
      <c r="N21" t="s">
        <v>45</v>
      </c>
      <c r="O21" t="s">
        <v>46</v>
      </c>
    </row>
    <row r="22" spans="1:15">
      <c r="A22" t="s">
        <v>35</v>
      </c>
      <c r="B22" t="s">
        <v>79</v>
      </c>
      <c r="C22" t="s">
        <v>37</v>
      </c>
      <c r="D22" t="s">
        <v>15</v>
      </c>
      <c r="E22" t="s">
        <v>77</v>
      </c>
      <c r="F22" t="s">
        <v>78</v>
      </c>
      <c r="G22" t="s">
        <v>41</v>
      </c>
      <c r="H22" t="s">
        <v>59</v>
      </c>
      <c r="I22" s="74">
        <v>46143</v>
      </c>
      <c r="J22" s="74">
        <v>46143</v>
      </c>
      <c r="L22" t="s">
        <v>44</v>
      </c>
      <c r="M22" t="b">
        <v>0</v>
      </c>
      <c r="N22" t="s">
        <v>45</v>
      </c>
      <c r="O22" t="s">
        <v>46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B3AC9-9E39-4C28-B102-FA8BE50F047A}">
  <dimension ref="B1:Y100"/>
  <sheetViews>
    <sheetView showGridLines="0" zoomScale="90" zoomScaleNormal="90" workbookViewId="0">
      <pane xSplit="6" ySplit="3" topLeftCell="K4" activePane="bottomRight" state="frozen"/>
      <selection pane="topRight" activeCell="O2" sqref="O2"/>
      <selection pane="bottomLeft" activeCell="O2" sqref="O2"/>
      <selection pane="bottomRight" activeCell="C118" sqref="C118"/>
    </sheetView>
  </sheetViews>
  <sheetFormatPr baseColWidth="10" defaultColWidth="11.453125" defaultRowHeight="15" customHeight="1"/>
  <cols>
    <col min="1" max="1" width="1.453125" customWidth="1"/>
    <col min="2" max="2" width="6.453125" customWidth="1"/>
    <col min="3" max="3" width="23.1796875" customWidth="1"/>
    <col min="4" max="4" width="9.453125" bestFit="1" customWidth="1"/>
    <col min="5" max="5" width="13" customWidth="1"/>
    <col min="6" max="6" width="17.81640625" style="1" bestFit="1" customWidth="1"/>
    <col min="7" max="7" width="17" style="1" bestFit="1" customWidth="1"/>
    <col min="8" max="8" width="27.453125" style="1" customWidth="1"/>
    <col min="9" max="9" width="46.7265625" style="1" customWidth="1"/>
    <col min="10" max="10" width="26.1796875" style="1" customWidth="1"/>
    <col min="11" max="11" width="8.26953125" style="1" customWidth="1"/>
    <col min="12" max="12" width="12.26953125" style="71" customWidth="1"/>
    <col min="13" max="13" width="10.81640625" style="71" customWidth="1"/>
    <col min="14" max="14" width="17.1796875" style="183" customWidth="1"/>
    <col min="15" max="15" width="13.54296875" style="1" hidden="1" customWidth="1"/>
    <col min="16" max="16" width="14.1796875" style="1" customWidth="1"/>
    <col min="17" max="17" width="14.1796875" customWidth="1"/>
    <col min="18" max="18" width="20.54296875" style="6" customWidth="1"/>
    <col min="20" max="20" width="9" customWidth="1"/>
  </cols>
  <sheetData>
    <row r="1" spans="2:23" ht="9" customHeight="1"/>
    <row r="2" spans="2:23" ht="9" customHeight="1"/>
    <row r="3" spans="2:23" s="3" customFormat="1" ht="12">
      <c r="B3" s="10" t="s">
        <v>80</v>
      </c>
      <c r="C3" s="10" t="s">
        <v>0</v>
      </c>
      <c r="D3" s="10" t="s">
        <v>20</v>
      </c>
      <c r="E3" s="3" t="s">
        <v>81</v>
      </c>
      <c r="F3" s="4" t="s">
        <v>22</v>
      </c>
      <c r="G3" s="4" t="s">
        <v>23</v>
      </c>
      <c r="H3" s="4" t="s">
        <v>24</v>
      </c>
      <c r="I3" s="4" t="s">
        <v>25</v>
      </c>
      <c r="J3" s="5" t="s">
        <v>26</v>
      </c>
      <c r="K3" s="5" t="s">
        <v>27</v>
      </c>
      <c r="L3" s="184" t="s">
        <v>28</v>
      </c>
      <c r="M3" s="184" t="s">
        <v>82</v>
      </c>
      <c r="N3" s="185" t="s">
        <v>29</v>
      </c>
      <c r="O3" s="7" t="s">
        <v>30</v>
      </c>
      <c r="P3" s="4" t="s">
        <v>31</v>
      </c>
      <c r="Q3" s="3" t="s">
        <v>32</v>
      </c>
      <c r="R3" s="4" t="s">
        <v>33</v>
      </c>
      <c r="S3" s="3" t="s">
        <v>34</v>
      </c>
      <c r="T3" s="3" t="s">
        <v>83</v>
      </c>
      <c r="U3" s="3" t="s">
        <v>84</v>
      </c>
    </row>
    <row r="4" spans="2:23" s="2" customFormat="1" ht="13">
      <c r="B4" s="11">
        <v>1</v>
      </c>
      <c r="C4" s="17" t="s">
        <v>11</v>
      </c>
      <c r="D4" s="11" t="s">
        <v>35</v>
      </c>
      <c r="E4" s="2" t="s">
        <v>85</v>
      </c>
      <c r="F4" s="13" t="s">
        <v>86</v>
      </c>
      <c r="G4" s="13" t="s">
        <v>87</v>
      </c>
      <c r="H4" s="13" t="s">
        <v>88</v>
      </c>
      <c r="I4" s="13" t="s">
        <v>89</v>
      </c>
      <c r="J4" s="13" t="s">
        <v>41</v>
      </c>
      <c r="K4" s="13" t="s">
        <v>42</v>
      </c>
      <c r="L4" s="14">
        <v>46101</v>
      </c>
      <c r="M4" s="14"/>
      <c r="N4" s="14" t="s">
        <v>43</v>
      </c>
      <c r="O4" s="13"/>
      <c r="P4" s="13" t="s">
        <v>90</v>
      </c>
      <c r="Q4" s="16" t="b">
        <v>1</v>
      </c>
      <c r="R4" s="15" t="s">
        <v>91</v>
      </c>
      <c r="S4" s="27" t="s">
        <v>92</v>
      </c>
      <c r="T4" s="27"/>
      <c r="U4" s="27" t="str">
        <f>IF(TablaSoporte[[#This Row],[Fecha requerida]]="","N",IF(TablaSoporte[[#This Row],[Fecha requerida]]&lt;=DATE(2026,4,30),"S","N"))</f>
        <v>S</v>
      </c>
      <c r="W4" s="21" t="s">
        <v>68</v>
      </c>
    </row>
    <row r="5" spans="2:23" ht="14.5">
      <c r="B5" s="11">
        <v>2</v>
      </c>
      <c r="C5" s="17" t="s">
        <v>11</v>
      </c>
      <c r="D5" s="11" t="s">
        <v>35</v>
      </c>
      <c r="E5" s="2" t="s">
        <v>85</v>
      </c>
      <c r="F5" s="13" t="s">
        <v>93</v>
      </c>
      <c r="G5" s="13" t="s">
        <v>94</v>
      </c>
      <c r="H5" s="13" t="s">
        <v>95</v>
      </c>
      <c r="I5" s="13" t="s">
        <v>96</v>
      </c>
      <c r="J5" s="13" t="s">
        <v>41</v>
      </c>
      <c r="K5" s="13" t="s">
        <v>42</v>
      </c>
      <c r="L5" s="14">
        <v>46104</v>
      </c>
      <c r="M5" s="14"/>
      <c r="N5" s="14" t="s">
        <v>43</v>
      </c>
      <c r="O5" s="13"/>
      <c r="P5" s="13" t="s">
        <v>97</v>
      </c>
      <c r="Q5" s="16" t="b">
        <v>1</v>
      </c>
      <c r="R5" s="15" t="s">
        <v>91</v>
      </c>
      <c r="S5" s="27" t="s">
        <v>92</v>
      </c>
      <c r="T5" s="27"/>
      <c r="U5" s="27" t="str">
        <f>IF(TablaSoporte[[#This Row],[Fecha requerida]]="","N",IF(TablaSoporte[[#This Row],[Fecha requerida]]&lt;=DATE(2026,4,30),"S","N"))</f>
        <v>S</v>
      </c>
      <c r="W5" s="21" t="s">
        <v>45</v>
      </c>
    </row>
    <row r="6" spans="2:23" ht="14.5" hidden="1">
      <c r="B6" s="11">
        <v>3</v>
      </c>
      <c r="C6" s="17" t="s">
        <v>11</v>
      </c>
      <c r="D6" s="11" t="s">
        <v>35</v>
      </c>
      <c r="E6" s="2" t="s">
        <v>98</v>
      </c>
      <c r="F6" s="13" t="s">
        <v>99</v>
      </c>
      <c r="G6" s="13" t="s">
        <v>10</v>
      </c>
      <c r="H6" s="13" t="s">
        <v>100</v>
      </c>
      <c r="I6" s="13" t="s">
        <v>101</v>
      </c>
      <c r="J6" s="13" t="s">
        <v>41</v>
      </c>
      <c r="K6" s="13" t="s">
        <v>42</v>
      </c>
      <c r="L6" s="14">
        <v>46157</v>
      </c>
      <c r="M6" s="14"/>
      <c r="N6" s="14">
        <v>46157</v>
      </c>
      <c r="O6" s="13"/>
      <c r="P6" s="13" t="s">
        <v>102</v>
      </c>
      <c r="Q6" s="16" t="b">
        <v>0</v>
      </c>
      <c r="R6" s="15" t="s">
        <v>103</v>
      </c>
      <c r="S6" s="27" t="s">
        <v>92</v>
      </c>
      <c r="T6" s="27"/>
      <c r="U6" s="27" t="str">
        <f>IF(TablaSoporte[[#This Row],[Fecha requerida]]="","N",IF(TablaSoporte[[#This Row],[Fecha requerida]]&lt;=DATE(2026,4,30),"S","N"))</f>
        <v>N</v>
      </c>
      <c r="W6" s="21" t="s">
        <v>68</v>
      </c>
    </row>
    <row r="7" spans="2:23" ht="14.5" hidden="1">
      <c r="B7" s="11">
        <v>4</v>
      </c>
      <c r="C7" s="17" t="s">
        <v>11</v>
      </c>
      <c r="D7" s="11" t="s">
        <v>35</v>
      </c>
      <c r="E7" s="2" t="s">
        <v>104</v>
      </c>
      <c r="F7" s="13" t="s">
        <v>105</v>
      </c>
      <c r="G7" s="13" t="s">
        <v>106</v>
      </c>
      <c r="H7" s="13" t="s">
        <v>107</v>
      </c>
      <c r="I7" s="13" t="s">
        <v>108</v>
      </c>
      <c r="J7" s="13" t="s">
        <v>41</v>
      </c>
      <c r="K7" s="13" t="s">
        <v>42</v>
      </c>
      <c r="L7" s="14">
        <v>46157</v>
      </c>
      <c r="M7" s="14"/>
      <c r="N7" s="14" t="s">
        <v>43</v>
      </c>
      <c r="O7" s="13"/>
      <c r="P7" s="13" t="s">
        <v>109</v>
      </c>
      <c r="Q7" s="16" t="b">
        <v>0</v>
      </c>
      <c r="R7" s="15" t="s">
        <v>103</v>
      </c>
      <c r="S7" s="27" t="s">
        <v>92</v>
      </c>
      <c r="T7" s="27"/>
      <c r="U7" s="27" t="str">
        <f>IF(TablaSoporte[[#This Row],[Fecha requerida]]="","N",IF(TablaSoporte[[#This Row],[Fecha requerida]]&lt;=DATE(2026,4,30),"S","N"))</f>
        <v>N</v>
      </c>
      <c r="W7" s="21" t="s">
        <v>45</v>
      </c>
    </row>
    <row r="8" spans="2:23" ht="14.5" hidden="1">
      <c r="B8" s="11">
        <v>5</v>
      </c>
      <c r="C8" s="17" t="s">
        <v>11</v>
      </c>
      <c r="D8" s="11" t="s">
        <v>35</v>
      </c>
      <c r="E8" s="2" t="s">
        <v>110</v>
      </c>
      <c r="F8" s="13" t="s">
        <v>111</v>
      </c>
      <c r="G8" s="13" t="s">
        <v>106</v>
      </c>
      <c r="H8" s="13" t="s">
        <v>107</v>
      </c>
      <c r="I8" s="13" t="s">
        <v>108</v>
      </c>
      <c r="J8" s="13" t="s">
        <v>41</v>
      </c>
      <c r="K8" s="13" t="s">
        <v>42</v>
      </c>
      <c r="L8" s="14">
        <v>46157</v>
      </c>
      <c r="M8" s="14"/>
      <c r="N8" s="14" t="s">
        <v>43</v>
      </c>
      <c r="O8" s="13"/>
      <c r="P8" s="13" t="s">
        <v>109</v>
      </c>
      <c r="Q8" s="16" t="b">
        <v>0</v>
      </c>
      <c r="R8" s="15" t="s">
        <v>103</v>
      </c>
      <c r="S8" s="27" t="s">
        <v>92</v>
      </c>
      <c r="T8" s="27"/>
      <c r="U8" s="27" t="str">
        <f>IF(TablaSoporte[[#This Row],[Fecha requerida]]="","N",IF(TablaSoporte[[#This Row],[Fecha requerida]]&lt;=DATE(2026,4,30),"S","N"))</f>
        <v>N</v>
      </c>
      <c r="W8" s="21"/>
    </row>
    <row r="9" spans="2:23" ht="14.5" hidden="1">
      <c r="B9" s="11">
        <v>6</v>
      </c>
      <c r="C9" s="17" t="s">
        <v>11</v>
      </c>
      <c r="D9" s="11" t="s">
        <v>35</v>
      </c>
      <c r="E9" s="2" t="s">
        <v>112</v>
      </c>
      <c r="F9" s="13" t="s">
        <v>113</v>
      </c>
      <c r="G9" s="13" t="s">
        <v>106</v>
      </c>
      <c r="H9" s="13" t="s">
        <v>107</v>
      </c>
      <c r="I9" s="13" t="s">
        <v>108</v>
      </c>
      <c r="J9" s="13" t="s">
        <v>41</v>
      </c>
      <c r="K9" s="13" t="s">
        <v>42</v>
      </c>
      <c r="L9" s="14">
        <v>46157</v>
      </c>
      <c r="M9" s="14"/>
      <c r="N9" s="14" t="s">
        <v>43</v>
      </c>
      <c r="O9" s="13"/>
      <c r="P9" s="13" t="s">
        <v>109</v>
      </c>
      <c r="Q9" s="16" t="b">
        <v>0</v>
      </c>
      <c r="R9" s="15" t="s">
        <v>103</v>
      </c>
      <c r="S9" s="27" t="s">
        <v>92</v>
      </c>
      <c r="T9" s="27"/>
      <c r="U9" s="27" t="str">
        <f>IF(TablaSoporte[[#This Row],[Fecha requerida]]="","N",IF(TablaSoporte[[#This Row],[Fecha requerida]]&lt;=DATE(2026,4,30),"S","N"))</f>
        <v>N</v>
      </c>
      <c r="W9" s="21"/>
    </row>
    <row r="10" spans="2:23" ht="14.5" hidden="1">
      <c r="B10" s="11">
        <v>7</v>
      </c>
      <c r="C10" s="17" t="s">
        <v>11</v>
      </c>
      <c r="D10" s="11" t="s">
        <v>35</v>
      </c>
      <c r="E10" s="2" t="s">
        <v>114</v>
      </c>
      <c r="F10" s="13" t="s">
        <v>115</v>
      </c>
      <c r="G10" s="13" t="s">
        <v>106</v>
      </c>
      <c r="H10" s="13" t="s">
        <v>107</v>
      </c>
      <c r="I10" s="13" t="s">
        <v>108</v>
      </c>
      <c r="J10" s="13" t="s">
        <v>41</v>
      </c>
      <c r="K10" s="13" t="s">
        <v>42</v>
      </c>
      <c r="L10" s="14">
        <v>46157</v>
      </c>
      <c r="M10" s="14"/>
      <c r="N10" s="14" t="s">
        <v>43</v>
      </c>
      <c r="O10" s="13"/>
      <c r="P10" s="13" t="s">
        <v>109</v>
      </c>
      <c r="Q10" s="16" t="b">
        <v>0</v>
      </c>
      <c r="R10" s="15" t="s">
        <v>103</v>
      </c>
      <c r="S10" s="27" t="s">
        <v>92</v>
      </c>
      <c r="T10" s="27"/>
      <c r="U10" s="27" t="str">
        <f>IF(TablaSoporte[[#This Row],[Fecha requerida]]="","N",IF(TablaSoporte[[#This Row],[Fecha requerida]]&lt;=DATE(2026,4,30),"S","N"))</f>
        <v>N</v>
      </c>
      <c r="W10" s="21"/>
    </row>
    <row r="11" spans="2:23" ht="14.5" hidden="1">
      <c r="B11" s="11">
        <v>8</v>
      </c>
      <c r="C11" s="17" t="s">
        <v>11</v>
      </c>
      <c r="D11" s="11" t="s">
        <v>35</v>
      </c>
      <c r="E11" s="2" t="s">
        <v>116</v>
      </c>
      <c r="F11" s="13" t="s">
        <v>117</v>
      </c>
      <c r="G11" s="13" t="s">
        <v>106</v>
      </c>
      <c r="H11" s="13" t="s">
        <v>107</v>
      </c>
      <c r="I11" s="13" t="s">
        <v>108</v>
      </c>
      <c r="J11" s="13" t="s">
        <v>41</v>
      </c>
      <c r="K11" s="13" t="s">
        <v>42</v>
      </c>
      <c r="L11" s="14">
        <v>46157</v>
      </c>
      <c r="M11" s="14"/>
      <c r="N11" s="14" t="s">
        <v>43</v>
      </c>
      <c r="O11" s="13"/>
      <c r="P11" s="13" t="s">
        <v>109</v>
      </c>
      <c r="Q11" s="16" t="b">
        <v>0</v>
      </c>
      <c r="R11" s="15" t="s">
        <v>103</v>
      </c>
      <c r="S11" s="27" t="s">
        <v>92</v>
      </c>
      <c r="T11" s="27"/>
      <c r="U11" s="27" t="str">
        <f>IF(TablaSoporte[[#This Row],[Fecha requerida]]="","N",IF(TablaSoporte[[#This Row],[Fecha requerida]]&lt;=DATE(2026,4,30),"S","N"))</f>
        <v>N</v>
      </c>
      <c r="W11" s="21"/>
    </row>
    <row r="12" spans="2:23" ht="14.5" hidden="1">
      <c r="B12" s="11">
        <v>9</v>
      </c>
      <c r="C12" s="17" t="s">
        <v>11</v>
      </c>
      <c r="D12" s="11" t="s">
        <v>35</v>
      </c>
      <c r="E12" s="2" t="s">
        <v>118</v>
      </c>
      <c r="F12" s="13" t="s">
        <v>119</v>
      </c>
      <c r="G12" s="13" t="s">
        <v>106</v>
      </c>
      <c r="H12" s="13" t="s">
        <v>107</v>
      </c>
      <c r="I12" s="13" t="s">
        <v>108</v>
      </c>
      <c r="J12" s="13" t="s">
        <v>41</v>
      </c>
      <c r="K12" s="13" t="s">
        <v>42</v>
      </c>
      <c r="L12" s="14">
        <v>46157</v>
      </c>
      <c r="M12" s="14"/>
      <c r="N12" s="14" t="s">
        <v>43</v>
      </c>
      <c r="O12" s="13"/>
      <c r="P12" s="13" t="s">
        <v>109</v>
      </c>
      <c r="Q12" s="16" t="b">
        <v>0</v>
      </c>
      <c r="R12" s="15" t="s">
        <v>103</v>
      </c>
      <c r="S12" s="27" t="s">
        <v>92</v>
      </c>
      <c r="T12" s="27"/>
      <c r="U12" s="27" t="str">
        <f>IF(TablaSoporte[[#This Row],[Fecha requerida]]="","N",IF(TablaSoporte[[#This Row],[Fecha requerida]]&lt;=DATE(2026,4,30),"S","N"))</f>
        <v>N</v>
      </c>
      <c r="W12" s="21"/>
    </row>
    <row r="13" spans="2:23" ht="14.5" hidden="1">
      <c r="B13" s="11">
        <v>10</v>
      </c>
      <c r="C13" s="17" t="s">
        <v>11</v>
      </c>
      <c r="D13" s="11" t="s">
        <v>35</v>
      </c>
      <c r="E13" s="2" t="s">
        <v>120</v>
      </c>
      <c r="F13" s="13" t="s">
        <v>121</v>
      </c>
      <c r="G13" s="13" t="s">
        <v>106</v>
      </c>
      <c r="H13" s="13" t="s">
        <v>107</v>
      </c>
      <c r="I13" s="13" t="s">
        <v>108</v>
      </c>
      <c r="J13" s="13" t="s">
        <v>41</v>
      </c>
      <c r="K13" s="13" t="s">
        <v>42</v>
      </c>
      <c r="L13" s="14">
        <v>46157</v>
      </c>
      <c r="M13" s="14"/>
      <c r="N13" s="14" t="s">
        <v>43</v>
      </c>
      <c r="O13" s="13"/>
      <c r="P13" s="13" t="s">
        <v>109</v>
      </c>
      <c r="Q13" s="16" t="b">
        <v>0</v>
      </c>
      <c r="R13" s="15" t="s">
        <v>103</v>
      </c>
      <c r="S13" s="27" t="s">
        <v>92</v>
      </c>
      <c r="T13" s="27"/>
      <c r="U13" s="27" t="str">
        <f>IF(TablaSoporte[[#This Row],[Fecha requerida]]="","N",IF(TablaSoporte[[#This Row],[Fecha requerida]]&lt;=DATE(2026,4,30),"S","N"))</f>
        <v>N</v>
      </c>
      <c r="W13" s="21"/>
    </row>
    <row r="14" spans="2:23" ht="14.5" hidden="1">
      <c r="B14" s="11">
        <v>11</v>
      </c>
      <c r="C14" s="17" t="s">
        <v>11</v>
      </c>
      <c r="D14" s="11" t="s">
        <v>35</v>
      </c>
      <c r="E14" s="2" t="s">
        <v>122</v>
      </c>
      <c r="F14" s="13" t="s">
        <v>123</v>
      </c>
      <c r="G14" s="13" t="s">
        <v>106</v>
      </c>
      <c r="H14" s="13" t="s">
        <v>107</v>
      </c>
      <c r="I14" s="13" t="s">
        <v>108</v>
      </c>
      <c r="J14" s="13" t="s">
        <v>41</v>
      </c>
      <c r="K14" s="13" t="s">
        <v>42</v>
      </c>
      <c r="L14" s="14">
        <v>46157</v>
      </c>
      <c r="M14" s="14"/>
      <c r="N14" s="14" t="s">
        <v>43</v>
      </c>
      <c r="O14" s="13"/>
      <c r="P14" s="13" t="s">
        <v>109</v>
      </c>
      <c r="Q14" s="16" t="b">
        <v>0</v>
      </c>
      <c r="R14" s="15" t="s">
        <v>103</v>
      </c>
      <c r="S14" s="27" t="s">
        <v>92</v>
      </c>
      <c r="T14" s="27"/>
      <c r="U14" s="27" t="str">
        <f>IF(TablaSoporte[[#This Row],[Fecha requerida]]="","N",IF(TablaSoporte[[#This Row],[Fecha requerida]]&lt;=DATE(2026,4,30),"S","N"))</f>
        <v>N</v>
      </c>
      <c r="W14" s="21"/>
    </row>
    <row r="15" spans="2:23" ht="14.5" hidden="1">
      <c r="B15" s="11">
        <v>12</v>
      </c>
      <c r="C15" s="17" t="s">
        <v>11</v>
      </c>
      <c r="D15" s="11" t="s">
        <v>35</v>
      </c>
      <c r="E15" s="2" t="s">
        <v>124</v>
      </c>
      <c r="F15" s="13" t="s">
        <v>125</v>
      </c>
      <c r="G15" s="13" t="s">
        <v>106</v>
      </c>
      <c r="H15" s="13" t="s">
        <v>107</v>
      </c>
      <c r="I15" s="13" t="s">
        <v>108</v>
      </c>
      <c r="J15" s="13" t="s">
        <v>41</v>
      </c>
      <c r="K15" s="13" t="s">
        <v>42</v>
      </c>
      <c r="L15" s="14">
        <v>46157</v>
      </c>
      <c r="M15" s="14"/>
      <c r="N15" s="14" t="s">
        <v>43</v>
      </c>
      <c r="O15" s="13"/>
      <c r="P15" s="13" t="s">
        <v>109</v>
      </c>
      <c r="Q15" s="16" t="b">
        <v>0</v>
      </c>
      <c r="R15" s="15" t="s">
        <v>103</v>
      </c>
      <c r="S15" s="27" t="s">
        <v>92</v>
      </c>
      <c r="T15" s="27"/>
      <c r="U15" s="27" t="str">
        <f>IF(TablaSoporte[[#This Row],[Fecha requerida]]="","N",IF(TablaSoporte[[#This Row],[Fecha requerida]]&lt;=DATE(2026,4,30),"S","N"))</f>
        <v>N</v>
      </c>
      <c r="W15" s="21"/>
    </row>
    <row r="16" spans="2:23" ht="14.5" hidden="1">
      <c r="B16" s="11">
        <v>13</v>
      </c>
      <c r="C16" s="17" t="s">
        <v>11</v>
      </c>
      <c r="D16" s="11" t="s">
        <v>35</v>
      </c>
      <c r="E16" s="2" t="s">
        <v>126</v>
      </c>
      <c r="F16" s="13" t="s">
        <v>125</v>
      </c>
      <c r="G16" s="13" t="s">
        <v>106</v>
      </c>
      <c r="H16" s="13" t="s">
        <v>107</v>
      </c>
      <c r="I16" s="13" t="s">
        <v>108</v>
      </c>
      <c r="J16" s="13" t="s">
        <v>41</v>
      </c>
      <c r="K16" s="13" t="s">
        <v>42</v>
      </c>
      <c r="L16" s="14">
        <v>46157</v>
      </c>
      <c r="M16" s="14"/>
      <c r="N16" s="14" t="s">
        <v>43</v>
      </c>
      <c r="O16" s="13"/>
      <c r="P16" s="13" t="s">
        <v>109</v>
      </c>
      <c r="Q16" s="16" t="b">
        <v>0</v>
      </c>
      <c r="R16" s="15" t="s">
        <v>103</v>
      </c>
      <c r="S16" s="27" t="s">
        <v>92</v>
      </c>
      <c r="T16" s="27"/>
      <c r="U16" s="27" t="str">
        <f>IF(TablaSoporte[[#This Row],[Fecha requerida]]="","N",IF(TablaSoporte[[#This Row],[Fecha requerida]]&lt;=DATE(2026,4,30),"S","N"))</f>
        <v>N</v>
      </c>
      <c r="W16" s="21"/>
    </row>
    <row r="17" spans="2:23" ht="14.5" hidden="1">
      <c r="B17" s="11">
        <v>14</v>
      </c>
      <c r="C17" s="17" t="s">
        <v>11</v>
      </c>
      <c r="D17" s="11" t="s">
        <v>35</v>
      </c>
      <c r="E17" s="2" t="s">
        <v>127</v>
      </c>
      <c r="F17" s="13" t="s">
        <v>128</v>
      </c>
      <c r="G17" s="13" t="s">
        <v>106</v>
      </c>
      <c r="H17" s="13" t="s">
        <v>107</v>
      </c>
      <c r="I17" s="13" t="s">
        <v>108</v>
      </c>
      <c r="J17" s="13" t="s">
        <v>41</v>
      </c>
      <c r="K17" s="13" t="s">
        <v>42</v>
      </c>
      <c r="L17" s="14">
        <v>46157</v>
      </c>
      <c r="M17" s="14"/>
      <c r="N17" s="14" t="s">
        <v>43</v>
      </c>
      <c r="O17" s="13"/>
      <c r="P17" s="13" t="s">
        <v>109</v>
      </c>
      <c r="Q17" s="16" t="b">
        <v>0</v>
      </c>
      <c r="R17" s="15" t="s">
        <v>103</v>
      </c>
      <c r="S17" s="27" t="s">
        <v>92</v>
      </c>
      <c r="T17" s="27"/>
      <c r="U17" s="27" t="str">
        <f>IF(TablaSoporte[[#This Row],[Fecha requerida]]="","N",IF(TablaSoporte[[#This Row],[Fecha requerida]]&lt;=DATE(2026,4,30),"S","N"))</f>
        <v>N</v>
      </c>
      <c r="W17" s="21"/>
    </row>
    <row r="18" spans="2:23" ht="14.5" hidden="1">
      <c r="B18" s="11">
        <v>15</v>
      </c>
      <c r="C18" s="17" t="s">
        <v>11</v>
      </c>
      <c r="D18" s="11" t="s">
        <v>35</v>
      </c>
      <c r="E18" s="2" t="s">
        <v>129</v>
      </c>
      <c r="F18" s="13" t="s">
        <v>130</v>
      </c>
      <c r="G18" s="13" t="s">
        <v>106</v>
      </c>
      <c r="H18" s="13" t="s">
        <v>107</v>
      </c>
      <c r="I18" s="13" t="s">
        <v>108</v>
      </c>
      <c r="J18" s="13" t="s">
        <v>41</v>
      </c>
      <c r="K18" s="13" t="s">
        <v>42</v>
      </c>
      <c r="L18" s="14">
        <v>46157</v>
      </c>
      <c r="M18" s="14"/>
      <c r="N18" s="14" t="s">
        <v>43</v>
      </c>
      <c r="O18" s="13"/>
      <c r="P18" s="13" t="s">
        <v>109</v>
      </c>
      <c r="Q18" s="16" t="b">
        <v>0</v>
      </c>
      <c r="R18" s="15" t="s">
        <v>103</v>
      </c>
      <c r="S18" s="27" t="s">
        <v>92</v>
      </c>
      <c r="T18" s="27"/>
      <c r="U18" s="27" t="str">
        <f>IF(TablaSoporte[[#This Row],[Fecha requerida]]="","N",IF(TablaSoporte[[#This Row],[Fecha requerida]]&lt;=DATE(2026,4,30),"S","N"))</f>
        <v>N</v>
      </c>
      <c r="W18" s="21"/>
    </row>
    <row r="19" spans="2:23" ht="14.5" hidden="1">
      <c r="B19" s="11">
        <v>16</v>
      </c>
      <c r="C19" s="17" t="s">
        <v>11</v>
      </c>
      <c r="D19" s="11" t="s">
        <v>35</v>
      </c>
      <c r="E19" s="2" t="s">
        <v>131</v>
      </c>
      <c r="F19" s="13" t="s">
        <v>132</v>
      </c>
      <c r="G19" s="13" t="s">
        <v>106</v>
      </c>
      <c r="H19" s="13" t="s">
        <v>107</v>
      </c>
      <c r="I19" s="13" t="s">
        <v>108</v>
      </c>
      <c r="J19" s="13" t="s">
        <v>41</v>
      </c>
      <c r="K19" s="13" t="s">
        <v>42</v>
      </c>
      <c r="L19" s="14">
        <v>46157</v>
      </c>
      <c r="M19" s="14"/>
      <c r="N19" s="14" t="s">
        <v>43</v>
      </c>
      <c r="O19" s="13"/>
      <c r="P19" s="13" t="s">
        <v>109</v>
      </c>
      <c r="Q19" s="16" t="b">
        <v>0</v>
      </c>
      <c r="R19" s="15" t="s">
        <v>103</v>
      </c>
      <c r="S19" s="27" t="s">
        <v>92</v>
      </c>
      <c r="T19" s="27"/>
      <c r="U19" s="27" t="str">
        <f>IF(TablaSoporte[[#This Row],[Fecha requerida]]="","N",IF(TablaSoporte[[#This Row],[Fecha requerida]]&lt;=DATE(2026,4,30),"S","N"))</f>
        <v>N</v>
      </c>
      <c r="W19" s="21"/>
    </row>
    <row r="20" spans="2:23" ht="14.5" hidden="1">
      <c r="B20" s="11">
        <v>17</v>
      </c>
      <c r="C20" s="17" t="s">
        <v>11</v>
      </c>
      <c r="D20" s="11" t="s">
        <v>35</v>
      </c>
      <c r="E20" s="2" t="s">
        <v>133</v>
      </c>
      <c r="F20" s="13" t="s">
        <v>134</v>
      </c>
      <c r="G20" s="13" t="s">
        <v>106</v>
      </c>
      <c r="H20" s="13" t="s">
        <v>107</v>
      </c>
      <c r="I20" s="13" t="s">
        <v>108</v>
      </c>
      <c r="J20" s="13" t="s">
        <v>41</v>
      </c>
      <c r="K20" s="13" t="s">
        <v>42</v>
      </c>
      <c r="L20" s="14">
        <v>46157</v>
      </c>
      <c r="M20" s="14"/>
      <c r="N20" s="14" t="s">
        <v>43</v>
      </c>
      <c r="O20" s="13"/>
      <c r="P20" s="13" t="s">
        <v>109</v>
      </c>
      <c r="Q20" s="16" t="b">
        <v>0</v>
      </c>
      <c r="R20" s="15" t="s">
        <v>103</v>
      </c>
      <c r="S20" s="27" t="s">
        <v>92</v>
      </c>
      <c r="T20" s="27"/>
      <c r="U20" s="27" t="str">
        <f>IF(TablaSoporte[[#This Row],[Fecha requerida]]="","N",IF(TablaSoporte[[#This Row],[Fecha requerida]]&lt;=DATE(2026,4,30),"S","N"))</f>
        <v>N</v>
      </c>
      <c r="W20" s="21"/>
    </row>
    <row r="21" spans="2:23" ht="14.5" hidden="1">
      <c r="B21" s="11">
        <v>18</v>
      </c>
      <c r="C21" s="17" t="s">
        <v>11</v>
      </c>
      <c r="D21" s="11" t="s">
        <v>35</v>
      </c>
      <c r="E21" s="2" t="s">
        <v>135</v>
      </c>
      <c r="F21" s="13" t="s">
        <v>136</v>
      </c>
      <c r="G21" s="13" t="s">
        <v>106</v>
      </c>
      <c r="H21" s="13" t="s">
        <v>107</v>
      </c>
      <c r="I21" s="13" t="s">
        <v>108</v>
      </c>
      <c r="J21" s="13" t="s">
        <v>41</v>
      </c>
      <c r="K21" s="13" t="s">
        <v>42</v>
      </c>
      <c r="L21" s="14">
        <v>46157</v>
      </c>
      <c r="M21" s="14"/>
      <c r="N21" s="14" t="s">
        <v>43</v>
      </c>
      <c r="O21" s="13"/>
      <c r="P21" s="13" t="s">
        <v>109</v>
      </c>
      <c r="Q21" s="16" t="b">
        <v>0</v>
      </c>
      <c r="R21" s="15" t="s">
        <v>103</v>
      </c>
      <c r="S21" s="27" t="s">
        <v>92</v>
      </c>
      <c r="T21" s="27"/>
      <c r="U21" s="27" t="str">
        <f>IF(TablaSoporte[[#This Row],[Fecha requerida]]="","N",IF(TablaSoporte[[#This Row],[Fecha requerida]]&lt;=DATE(2026,4,30),"S","N"))</f>
        <v>N</v>
      </c>
      <c r="W21" s="21"/>
    </row>
    <row r="22" spans="2:23" ht="14.5" hidden="1">
      <c r="B22" s="11">
        <v>19</v>
      </c>
      <c r="C22" s="17" t="s">
        <v>11</v>
      </c>
      <c r="D22" s="11" t="s">
        <v>35</v>
      </c>
      <c r="E22" s="2" t="s">
        <v>137</v>
      </c>
      <c r="F22" s="13" t="s">
        <v>119</v>
      </c>
      <c r="G22" s="13" t="s">
        <v>106</v>
      </c>
      <c r="H22" s="13" t="s">
        <v>107</v>
      </c>
      <c r="I22" s="13" t="s">
        <v>108</v>
      </c>
      <c r="J22" s="13" t="s">
        <v>41</v>
      </c>
      <c r="K22" s="13" t="s">
        <v>42</v>
      </c>
      <c r="L22" s="14">
        <v>46157</v>
      </c>
      <c r="M22" s="14"/>
      <c r="N22" s="14" t="s">
        <v>43</v>
      </c>
      <c r="O22" s="13"/>
      <c r="P22" s="13" t="s">
        <v>109</v>
      </c>
      <c r="Q22" s="16" t="b">
        <v>0</v>
      </c>
      <c r="R22" s="15" t="s">
        <v>103</v>
      </c>
      <c r="S22" s="27" t="s">
        <v>92</v>
      </c>
      <c r="T22" s="27"/>
      <c r="U22" s="27" t="str">
        <f>IF(TablaSoporte[[#This Row],[Fecha requerida]]="","N",IF(TablaSoporte[[#This Row],[Fecha requerida]]&lt;=DATE(2026,4,30),"S","N"))</f>
        <v>N</v>
      </c>
      <c r="W22" s="21"/>
    </row>
    <row r="23" spans="2:23" ht="14.5" hidden="1">
      <c r="B23" s="11">
        <v>20</v>
      </c>
      <c r="C23" s="17" t="s">
        <v>11</v>
      </c>
      <c r="D23" s="11" t="s">
        <v>35</v>
      </c>
      <c r="E23" s="2" t="s">
        <v>138</v>
      </c>
      <c r="F23" s="13" t="s">
        <v>139</v>
      </c>
      <c r="G23" s="13" t="s">
        <v>106</v>
      </c>
      <c r="H23" s="13" t="s">
        <v>107</v>
      </c>
      <c r="I23" s="13" t="s">
        <v>108</v>
      </c>
      <c r="J23" s="13" t="s">
        <v>41</v>
      </c>
      <c r="K23" s="13" t="s">
        <v>42</v>
      </c>
      <c r="L23" s="14">
        <v>46157</v>
      </c>
      <c r="M23" s="14"/>
      <c r="N23" s="14" t="s">
        <v>43</v>
      </c>
      <c r="O23" s="13"/>
      <c r="P23" s="13" t="s">
        <v>109</v>
      </c>
      <c r="Q23" s="16" t="b">
        <v>0</v>
      </c>
      <c r="R23" s="15" t="s">
        <v>103</v>
      </c>
      <c r="S23" s="27" t="s">
        <v>92</v>
      </c>
      <c r="T23" s="27"/>
      <c r="U23" s="27" t="str">
        <f>IF(TablaSoporte[[#This Row],[Fecha requerida]]="","N",IF(TablaSoporte[[#This Row],[Fecha requerida]]&lt;=DATE(2026,4,30),"S","N"))</f>
        <v>N</v>
      </c>
      <c r="W23" s="21"/>
    </row>
    <row r="24" spans="2:23" ht="14.5" hidden="1">
      <c r="B24" s="11">
        <v>21</v>
      </c>
      <c r="C24" s="17" t="s">
        <v>11</v>
      </c>
      <c r="D24" s="11" t="s">
        <v>35</v>
      </c>
      <c r="E24" s="2" t="s">
        <v>140</v>
      </c>
      <c r="F24" s="13" t="s">
        <v>141</v>
      </c>
      <c r="G24" s="13" t="s">
        <v>106</v>
      </c>
      <c r="H24" s="13" t="s">
        <v>107</v>
      </c>
      <c r="I24" s="13" t="s">
        <v>108</v>
      </c>
      <c r="J24" s="13" t="s">
        <v>41</v>
      </c>
      <c r="K24" s="13" t="s">
        <v>42</v>
      </c>
      <c r="L24" s="14">
        <v>46157</v>
      </c>
      <c r="M24" s="14"/>
      <c r="N24" s="14" t="s">
        <v>43</v>
      </c>
      <c r="O24" s="13"/>
      <c r="P24" s="13" t="s">
        <v>109</v>
      </c>
      <c r="Q24" s="16" t="b">
        <v>0</v>
      </c>
      <c r="R24" s="15" t="s">
        <v>103</v>
      </c>
      <c r="S24" s="27" t="s">
        <v>92</v>
      </c>
      <c r="T24" s="27"/>
      <c r="U24" s="27" t="str">
        <f>IF(TablaSoporte[[#This Row],[Fecha requerida]]="","N",IF(TablaSoporte[[#This Row],[Fecha requerida]]&lt;=DATE(2026,4,30),"S","N"))</f>
        <v>N</v>
      </c>
      <c r="W24" s="21"/>
    </row>
    <row r="25" spans="2:23" ht="14.5" hidden="1">
      <c r="B25" s="11">
        <v>22</v>
      </c>
      <c r="C25" s="17" t="s">
        <v>11</v>
      </c>
      <c r="D25" s="11" t="s">
        <v>35</v>
      </c>
      <c r="E25" s="2" t="s">
        <v>142</v>
      </c>
      <c r="F25" s="13" t="s">
        <v>143</v>
      </c>
      <c r="G25" s="13" t="s">
        <v>106</v>
      </c>
      <c r="H25" s="13" t="s">
        <v>107</v>
      </c>
      <c r="I25" s="13" t="s">
        <v>108</v>
      </c>
      <c r="J25" s="13" t="s">
        <v>41</v>
      </c>
      <c r="K25" s="13" t="s">
        <v>42</v>
      </c>
      <c r="L25" s="14">
        <v>46157</v>
      </c>
      <c r="M25" s="14"/>
      <c r="N25" s="14" t="s">
        <v>43</v>
      </c>
      <c r="O25" s="13"/>
      <c r="P25" s="13" t="s">
        <v>109</v>
      </c>
      <c r="Q25" s="16" t="b">
        <v>0</v>
      </c>
      <c r="R25" s="15" t="s">
        <v>103</v>
      </c>
      <c r="S25" s="27" t="s">
        <v>92</v>
      </c>
      <c r="T25" s="27"/>
      <c r="U25" s="27" t="str">
        <f>IF(TablaSoporte[[#This Row],[Fecha requerida]]="","N",IF(TablaSoporte[[#This Row],[Fecha requerida]]&lt;=DATE(2026,4,30),"S","N"))</f>
        <v>N</v>
      </c>
      <c r="W25" s="21"/>
    </row>
    <row r="26" spans="2:23" ht="14.5" hidden="1">
      <c r="B26" s="11">
        <v>23</v>
      </c>
      <c r="C26" s="17" t="s">
        <v>11</v>
      </c>
      <c r="D26" s="11" t="s">
        <v>35</v>
      </c>
      <c r="E26" s="2" t="s">
        <v>144</v>
      </c>
      <c r="F26" s="13" t="s">
        <v>145</v>
      </c>
      <c r="G26" s="13" t="s">
        <v>106</v>
      </c>
      <c r="H26" s="13" t="s">
        <v>107</v>
      </c>
      <c r="I26" s="13" t="s">
        <v>108</v>
      </c>
      <c r="J26" s="13" t="s">
        <v>41</v>
      </c>
      <c r="K26" s="13" t="s">
        <v>42</v>
      </c>
      <c r="L26" s="14">
        <v>46157</v>
      </c>
      <c r="M26" s="14"/>
      <c r="N26" s="14" t="s">
        <v>43</v>
      </c>
      <c r="O26" s="13"/>
      <c r="P26" s="13" t="s">
        <v>109</v>
      </c>
      <c r="Q26" s="16" t="b">
        <v>0</v>
      </c>
      <c r="R26" s="15" t="s">
        <v>103</v>
      </c>
      <c r="S26" s="27" t="s">
        <v>92</v>
      </c>
      <c r="T26" s="27"/>
      <c r="U26" s="27" t="str">
        <f>IF(TablaSoporte[[#This Row],[Fecha requerida]]="","N",IF(TablaSoporte[[#This Row],[Fecha requerida]]&lt;=DATE(2026,4,30),"S","N"))</f>
        <v>N</v>
      </c>
      <c r="W26" s="21"/>
    </row>
    <row r="27" spans="2:23" ht="14.5" hidden="1">
      <c r="B27" s="11">
        <v>24</v>
      </c>
      <c r="C27" s="17" t="s">
        <v>11</v>
      </c>
      <c r="D27" s="11" t="s">
        <v>35</v>
      </c>
      <c r="E27" s="2" t="s">
        <v>146</v>
      </c>
      <c r="F27" s="13" t="s">
        <v>147</v>
      </c>
      <c r="G27" s="13" t="s">
        <v>106</v>
      </c>
      <c r="H27" s="13" t="s">
        <v>107</v>
      </c>
      <c r="I27" s="13" t="s">
        <v>108</v>
      </c>
      <c r="J27" s="13" t="s">
        <v>41</v>
      </c>
      <c r="K27" s="13" t="s">
        <v>42</v>
      </c>
      <c r="L27" s="14">
        <v>46157</v>
      </c>
      <c r="M27" s="14"/>
      <c r="N27" s="14" t="s">
        <v>43</v>
      </c>
      <c r="O27" s="13"/>
      <c r="P27" s="13" t="s">
        <v>109</v>
      </c>
      <c r="Q27" s="16" t="b">
        <v>0</v>
      </c>
      <c r="R27" s="15" t="s">
        <v>103</v>
      </c>
      <c r="S27" s="27" t="s">
        <v>92</v>
      </c>
      <c r="T27" s="27"/>
      <c r="U27" s="27" t="str">
        <f>IF(TablaSoporte[[#This Row],[Fecha requerida]]="","N",IF(TablaSoporte[[#This Row],[Fecha requerida]]&lt;=DATE(2026,4,30),"S","N"))</f>
        <v>N</v>
      </c>
      <c r="W27" s="21"/>
    </row>
    <row r="28" spans="2:23" ht="14.5" hidden="1">
      <c r="B28" s="11">
        <v>25</v>
      </c>
      <c r="C28" s="17" t="s">
        <v>11</v>
      </c>
      <c r="D28" s="11" t="s">
        <v>35</v>
      </c>
      <c r="E28" s="2" t="s">
        <v>148</v>
      </c>
      <c r="F28" s="13" t="s">
        <v>149</v>
      </c>
      <c r="G28" s="13" t="s">
        <v>106</v>
      </c>
      <c r="H28" s="13" t="s">
        <v>107</v>
      </c>
      <c r="I28" s="13" t="s">
        <v>108</v>
      </c>
      <c r="J28" s="13" t="s">
        <v>41</v>
      </c>
      <c r="K28" s="13" t="s">
        <v>42</v>
      </c>
      <c r="L28" s="14">
        <v>46157</v>
      </c>
      <c r="M28" s="14"/>
      <c r="N28" s="14" t="s">
        <v>43</v>
      </c>
      <c r="O28" s="13"/>
      <c r="P28" s="13" t="s">
        <v>109</v>
      </c>
      <c r="Q28" s="16" t="b">
        <v>0</v>
      </c>
      <c r="R28" s="15" t="s">
        <v>103</v>
      </c>
      <c r="S28" s="27" t="s">
        <v>92</v>
      </c>
      <c r="T28" s="27"/>
      <c r="U28" s="27" t="str">
        <f>IF(TablaSoporte[[#This Row],[Fecha requerida]]="","N",IF(TablaSoporte[[#This Row],[Fecha requerida]]&lt;=DATE(2026,4,30),"S","N"))</f>
        <v>N</v>
      </c>
      <c r="W28" s="21"/>
    </row>
    <row r="29" spans="2:23" ht="14.5" hidden="1">
      <c r="B29" s="11">
        <v>26</v>
      </c>
      <c r="C29" s="17" t="s">
        <v>11</v>
      </c>
      <c r="D29" s="11" t="s">
        <v>35</v>
      </c>
      <c r="E29" s="2" t="s">
        <v>104</v>
      </c>
      <c r="F29" s="13" t="s">
        <v>105</v>
      </c>
      <c r="G29" s="13" t="s">
        <v>12</v>
      </c>
      <c r="H29" s="13" t="s">
        <v>150</v>
      </c>
      <c r="I29" s="13" t="s">
        <v>151</v>
      </c>
      <c r="J29" s="13" t="s">
        <v>41</v>
      </c>
      <c r="K29" s="13" t="s">
        <v>42</v>
      </c>
      <c r="L29" s="14">
        <v>46157</v>
      </c>
      <c r="M29" s="14"/>
      <c r="N29" s="14">
        <v>46157</v>
      </c>
      <c r="O29" s="13"/>
      <c r="P29" s="13" t="s">
        <v>152</v>
      </c>
      <c r="Q29" s="16" t="b">
        <v>0</v>
      </c>
      <c r="R29" s="15" t="s">
        <v>91</v>
      </c>
      <c r="S29" s="27" t="s">
        <v>92</v>
      </c>
      <c r="T29" s="27"/>
      <c r="U29" s="27" t="str">
        <f>IF(TablaSoporte[[#This Row],[Fecha requerida]]="","N",IF(TablaSoporte[[#This Row],[Fecha requerida]]&lt;=DATE(2026,4,30),"S","N"))</f>
        <v>N</v>
      </c>
      <c r="W29" s="21" t="s">
        <v>45</v>
      </c>
    </row>
    <row r="30" spans="2:23" ht="14.5" hidden="1">
      <c r="B30" s="11">
        <v>27</v>
      </c>
      <c r="C30" s="17" t="s">
        <v>11</v>
      </c>
      <c r="D30" s="11" t="s">
        <v>35</v>
      </c>
      <c r="E30" s="2" t="s">
        <v>110</v>
      </c>
      <c r="F30" s="13" t="s">
        <v>111</v>
      </c>
      <c r="G30" s="13" t="s">
        <v>12</v>
      </c>
      <c r="H30" s="13" t="s">
        <v>150</v>
      </c>
      <c r="I30" s="13" t="s">
        <v>151</v>
      </c>
      <c r="J30" s="13" t="s">
        <v>41</v>
      </c>
      <c r="K30" s="13" t="s">
        <v>42</v>
      </c>
      <c r="L30" s="14">
        <v>46157</v>
      </c>
      <c r="M30" s="14"/>
      <c r="N30" s="14">
        <v>46157</v>
      </c>
      <c r="O30" s="13"/>
      <c r="P30" s="13" t="s">
        <v>152</v>
      </c>
      <c r="Q30" s="16" t="b">
        <v>0</v>
      </c>
      <c r="R30" s="15" t="s">
        <v>91</v>
      </c>
      <c r="S30" s="27" t="s">
        <v>92</v>
      </c>
      <c r="T30" s="27"/>
      <c r="U30" s="27" t="str">
        <f>IF(TablaSoporte[[#This Row],[Fecha requerida]]="","N",IF(TablaSoporte[[#This Row],[Fecha requerida]]&lt;=DATE(2026,4,30),"S","N"))</f>
        <v>N</v>
      </c>
      <c r="W30" s="21"/>
    </row>
    <row r="31" spans="2:23" ht="14.5" hidden="1">
      <c r="B31" s="11">
        <v>28</v>
      </c>
      <c r="C31" s="17" t="s">
        <v>11</v>
      </c>
      <c r="D31" s="11" t="s">
        <v>35</v>
      </c>
      <c r="E31" s="2" t="s">
        <v>112</v>
      </c>
      <c r="F31" s="13" t="s">
        <v>113</v>
      </c>
      <c r="G31" s="13" t="s">
        <v>12</v>
      </c>
      <c r="H31" s="13" t="s">
        <v>150</v>
      </c>
      <c r="I31" s="13" t="s">
        <v>151</v>
      </c>
      <c r="J31" s="13" t="s">
        <v>41</v>
      </c>
      <c r="K31" s="13" t="s">
        <v>42</v>
      </c>
      <c r="L31" s="14">
        <v>46157</v>
      </c>
      <c r="M31" s="14"/>
      <c r="N31" s="14">
        <v>46157</v>
      </c>
      <c r="O31" s="13"/>
      <c r="P31" s="13" t="s">
        <v>152</v>
      </c>
      <c r="Q31" s="16" t="b">
        <v>0</v>
      </c>
      <c r="R31" s="15" t="s">
        <v>91</v>
      </c>
      <c r="S31" s="27" t="s">
        <v>92</v>
      </c>
      <c r="T31" s="27"/>
      <c r="U31" s="27" t="str">
        <f>IF(TablaSoporte[[#This Row],[Fecha requerida]]="","N",IF(TablaSoporte[[#This Row],[Fecha requerida]]&lt;=DATE(2026,4,30),"S","N"))</f>
        <v>N</v>
      </c>
      <c r="W31" s="21"/>
    </row>
    <row r="32" spans="2:23" ht="14.5" hidden="1">
      <c r="B32" s="11">
        <v>29</v>
      </c>
      <c r="C32" s="17" t="s">
        <v>11</v>
      </c>
      <c r="D32" s="11" t="s">
        <v>35</v>
      </c>
      <c r="E32" s="2" t="s">
        <v>114</v>
      </c>
      <c r="F32" s="13" t="s">
        <v>115</v>
      </c>
      <c r="G32" s="13" t="s">
        <v>12</v>
      </c>
      <c r="H32" s="13" t="s">
        <v>150</v>
      </c>
      <c r="I32" s="13" t="s">
        <v>151</v>
      </c>
      <c r="J32" s="13" t="s">
        <v>41</v>
      </c>
      <c r="K32" s="13" t="s">
        <v>42</v>
      </c>
      <c r="L32" s="14">
        <v>46157</v>
      </c>
      <c r="M32" s="14"/>
      <c r="N32" s="14">
        <v>46157</v>
      </c>
      <c r="O32" s="13"/>
      <c r="P32" s="13" t="s">
        <v>152</v>
      </c>
      <c r="Q32" s="16" t="b">
        <v>0</v>
      </c>
      <c r="R32" s="15" t="s">
        <v>91</v>
      </c>
      <c r="S32" s="27" t="s">
        <v>92</v>
      </c>
      <c r="T32" s="27"/>
      <c r="U32" s="27" t="str">
        <f>IF(TablaSoporte[[#This Row],[Fecha requerida]]="","N",IF(TablaSoporte[[#This Row],[Fecha requerida]]&lt;=DATE(2026,4,30),"S","N"))</f>
        <v>N</v>
      </c>
      <c r="W32" s="21"/>
    </row>
    <row r="33" spans="2:23" ht="14.5" hidden="1">
      <c r="B33" s="11">
        <v>30</v>
      </c>
      <c r="C33" s="17" t="s">
        <v>11</v>
      </c>
      <c r="D33" s="11" t="s">
        <v>35</v>
      </c>
      <c r="E33" s="2" t="s">
        <v>116</v>
      </c>
      <c r="F33" s="13" t="s">
        <v>117</v>
      </c>
      <c r="G33" s="13" t="s">
        <v>12</v>
      </c>
      <c r="H33" s="13" t="s">
        <v>150</v>
      </c>
      <c r="I33" s="13" t="s">
        <v>151</v>
      </c>
      <c r="J33" s="13" t="s">
        <v>41</v>
      </c>
      <c r="K33" s="13" t="s">
        <v>42</v>
      </c>
      <c r="L33" s="14">
        <v>46157</v>
      </c>
      <c r="M33" s="14"/>
      <c r="N33" s="14">
        <v>46157</v>
      </c>
      <c r="O33" s="13"/>
      <c r="P33" s="13" t="s">
        <v>152</v>
      </c>
      <c r="Q33" s="16" t="b">
        <v>0</v>
      </c>
      <c r="R33" s="15" t="s">
        <v>91</v>
      </c>
      <c r="S33" s="27" t="s">
        <v>92</v>
      </c>
      <c r="T33" s="27"/>
      <c r="U33" s="27" t="str">
        <f>IF(TablaSoporte[[#This Row],[Fecha requerida]]="","N",IF(TablaSoporte[[#This Row],[Fecha requerida]]&lt;=DATE(2026,4,30),"S","N"))</f>
        <v>N</v>
      </c>
      <c r="W33" s="21"/>
    </row>
    <row r="34" spans="2:23" ht="14.5" hidden="1">
      <c r="B34" s="11">
        <v>31</v>
      </c>
      <c r="C34" s="17" t="s">
        <v>11</v>
      </c>
      <c r="D34" s="11" t="s">
        <v>35</v>
      </c>
      <c r="E34" s="2" t="s">
        <v>118</v>
      </c>
      <c r="F34" s="13" t="s">
        <v>119</v>
      </c>
      <c r="G34" s="13" t="s">
        <v>12</v>
      </c>
      <c r="H34" s="13" t="s">
        <v>150</v>
      </c>
      <c r="I34" s="13" t="s">
        <v>151</v>
      </c>
      <c r="J34" s="13" t="s">
        <v>41</v>
      </c>
      <c r="K34" s="13" t="s">
        <v>42</v>
      </c>
      <c r="L34" s="14">
        <v>46157</v>
      </c>
      <c r="M34" s="14"/>
      <c r="N34" s="14">
        <v>46157</v>
      </c>
      <c r="O34" s="13"/>
      <c r="P34" s="13" t="s">
        <v>152</v>
      </c>
      <c r="Q34" s="16" t="b">
        <v>0</v>
      </c>
      <c r="R34" s="15" t="s">
        <v>91</v>
      </c>
      <c r="S34" s="27" t="s">
        <v>92</v>
      </c>
      <c r="T34" s="27"/>
      <c r="U34" s="27" t="str">
        <f>IF(TablaSoporte[[#This Row],[Fecha requerida]]="","N",IF(TablaSoporte[[#This Row],[Fecha requerida]]&lt;=DATE(2026,4,30),"S","N"))</f>
        <v>N</v>
      </c>
      <c r="W34" s="21"/>
    </row>
    <row r="35" spans="2:23" ht="14.5" hidden="1">
      <c r="B35" s="11">
        <v>32</v>
      </c>
      <c r="C35" s="17" t="s">
        <v>11</v>
      </c>
      <c r="D35" s="11" t="s">
        <v>35</v>
      </c>
      <c r="E35" s="2" t="s">
        <v>120</v>
      </c>
      <c r="F35" s="13" t="s">
        <v>121</v>
      </c>
      <c r="G35" s="13" t="s">
        <v>12</v>
      </c>
      <c r="H35" s="13" t="s">
        <v>150</v>
      </c>
      <c r="I35" s="13" t="s">
        <v>151</v>
      </c>
      <c r="J35" s="13" t="s">
        <v>41</v>
      </c>
      <c r="K35" s="13" t="s">
        <v>42</v>
      </c>
      <c r="L35" s="14">
        <v>46157</v>
      </c>
      <c r="M35" s="14"/>
      <c r="N35" s="14">
        <v>46157</v>
      </c>
      <c r="O35" s="13"/>
      <c r="P35" s="13" t="s">
        <v>152</v>
      </c>
      <c r="Q35" s="16" t="b">
        <v>0</v>
      </c>
      <c r="R35" s="15" t="s">
        <v>91</v>
      </c>
      <c r="S35" s="27" t="s">
        <v>92</v>
      </c>
      <c r="T35" s="27"/>
      <c r="U35" s="27" t="str">
        <f>IF(TablaSoporte[[#This Row],[Fecha requerida]]="","N",IF(TablaSoporte[[#This Row],[Fecha requerida]]&lt;=DATE(2026,4,30),"S","N"))</f>
        <v>N</v>
      </c>
      <c r="W35" s="21"/>
    </row>
    <row r="36" spans="2:23" ht="14.5" hidden="1">
      <c r="B36" s="11">
        <v>33</v>
      </c>
      <c r="C36" s="17" t="s">
        <v>11</v>
      </c>
      <c r="D36" s="11" t="s">
        <v>35</v>
      </c>
      <c r="E36" s="2" t="s">
        <v>122</v>
      </c>
      <c r="F36" s="13" t="s">
        <v>123</v>
      </c>
      <c r="G36" s="13" t="s">
        <v>12</v>
      </c>
      <c r="H36" s="13" t="s">
        <v>150</v>
      </c>
      <c r="I36" s="13" t="s">
        <v>151</v>
      </c>
      <c r="J36" s="13" t="s">
        <v>41</v>
      </c>
      <c r="K36" s="13" t="s">
        <v>42</v>
      </c>
      <c r="L36" s="14">
        <v>46157</v>
      </c>
      <c r="M36" s="14"/>
      <c r="N36" s="14">
        <v>46157</v>
      </c>
      <c r="O36" s="13"/>
      <c r="P36" s="13" t="s">
        <v>152</v>
      </c>
      <c r="Q36" s="16" t="b">
        <v>0</v>
      </c>
      <c r="R36" s="15" t="s">
        <v>91</v>
      </c>
      <c r="S36" s="27" t="s">
        <v>92</v>
      </c>
      <c r="T36" s="27"/>
      <c r="U36" s="27" t="str">
        <f>IF(TablaSoporte[[#This Row],[Fecha requerida]]="","N",IF(TablaSoporte[[#This Row],[Fecha requerida]]&lt;=DATE(2026,4,30),"S","N"))</f>
        <v>N</v>
      </c>
      <c r="W36" s="21"/>
    </row>
    <row r="37" spans="2:23" ht="14.5" hidden="1">
      <c r="B37" s="11">
        <v>34</v>
      </c>
      <c r="C37" s="17" t="s">
        <v>11</v>
      </c>
      <c r="D37" s="11" t="s">
        <v>35</v>
      </c>
      <c r="E37" s="2" t="s">
        <v>124</v>
      </c>
      <c r="F37" s="13" t="s">
        <v>125</v>
      </c>
      <c r="G37" s="13" t="s">
        <v>12</v>
      </c>
      <c r="H37" s="13" t="s">
        <v>150</v>
      </c>
      <c r="I37" s="13" t="s">
        <v>151</v>
      </c>
      <c r="J37" s="13" t="s">
        <v>41</v>
      </c>
      <c r="K37" s="13" t="s">
        <v>42</v>
      </c>
      <c r="L37" s="14">
        <v>46157</v>
      </c>
      <c r="M37" s="14"/>
      <c r="N37" s="14">
        <v>46157</v>
      </c>
      <c r="O37" s="13"/>
      <c r="P37" s="13" t="s">
        <v>152</v>
      </c>
      <c r="Q37" s="16" t="b">
        <v>0</v>
      </c>
      <c r="R37" s="15" t="s">
        <v>91</v>
      </c>
      <c r="S37" s="27" t="s">
        <v>92</v>
      </c>
      <c r="T37" s="27"/>
      <c r="U37" s="27" t="str">
        <f>IF(TablaSoporte[[#This Row],[Fecha requerida]]="","N",IF(TablaSoporte[[#This Row],[Fecha requerida]]&lt;=DATE(2026,4,30),"S","N"))</f>
        <v>N</v>
      </c>
      <c r="W37" s="21"/>
    </row>
    <row r="38" spans="2:23" ht="14.5" hidden="1">
      <c r="B38" s="11">
        <v>35</v>
      </c>
      <c r="C38" s="17" t="s">
        <v>11</v>
      </c>
      <c r="D38" s="11" t="s">
        <v>35</v>
      </c>
      <c r="E38" s="2" t="s">
        <v>126</v>
      </c>
      <c r="F38" s="13" t="s">
        <v>125</v>
      </c>
      <c r="G38" s="13" t="s">
        <v>12</v>
      </c>
      <c r="H38" s="13" t="s">
        <v>150</v>
      </c>
      <c r="I38" s="13" t="s">
        <v>151</v>
      </c>
      <c r="J38" s="13" t="s">
        <v>41</v>
      </c>
      <c r="K38" s="13" t="s">
        <v>42</v>
      </c>
      <c r="L38" s="14">
        <v>46157</v>
      </c>
      <c r="M38" s="14"/>
      <c r="N38" s="14">
        <v>46157</v>
      </c>
      <c r="O38" s="13"/>
      <c r="P38" s="13" t="s">
        <v>152</v>
      </c>
      <c r="Q38" s="16" t="b">
        <v>0</v>
      </c>
      <c r="R38" s="15" t="s">
        <v>91</v>
      </c>
      <c r="S38" s="27" t="s">
        <v>92</v>
      </c>
      <c r="T38" s="27"/>
      <c r="U38" s="27" t="str">
        <f>IF(TablaSoporte[[#This Row],[Fecha requerida]]="","N",IF(TablaSoporte[[#This Row],[Fecha requerida]]&lt;=DATE(2026,4,30),"S","N"))</f>
        <v>N</v>
      </c>
      <c r="W38" s="21"/>
    </row>
    <row r="39" spans="2:23" ht="14.5" hidden="1">
      <c r="B39" s="11">
        <v>36</v>
      </c>
      <c r="C39" s="17" t="s">
        <v>11</v>
      </c>
      <c r="D39" s="11" t="s">
        <v>35</v>
      </c>
      <c r="E39" s="2" t="s">
        <v>153</v>
      </c>
      <c r="F39" s="13" t="s">
        <v>154</v>
      </c>
      <c r="G39" s="13" t="s">
        <v>12</v>
      </c>
      <c r="H39" s="13" t="s">
        <v>150</v>
      </c>
      <c r="I39" s="13" t="s">
        <v>151</v>
      </c>
      <c r="J39" s="13" t="s">
        <v>41</v>
      </c>
      <c r="K39" s="13" t="s">
        <v>42</v>
      </c>
      <c r="L39" s="14">
        <v>46157</v>
      </c>
      <c r="M39" s="14"/>
      <c r="N39" s="14">
        <v>46157</v>
      </c>
      <c r="O39" s="13"/>
      <c r="P39" s="13" t="s">
        <v>152</v>
      </c>
      <c r="Q39" s="16" t="b">
        <v>0</v>
      </c>
      <c r="R39" s="15" t="s">
        <v>91</v>
      </c>
      <c r="S39" s="27" t="s">
        <v>92</v>
      </c>
      <c r="T39" s="27"/>
      <c r="U39" s="27" t="str">
        <f>IF(TablaSoporte[[#This Row],[Fecha requerida]]="","N",IF(TablaSoporte[[#This Row],[Fecha requerida]]&lt;=DATE(2026,4,30),"S","N"))</f>
        <v>N</v>
      </c>
      <c r="W39" s="21"/>
    </row>
    <row r="40" spans="2:23" ht="14.5" hidden="1">
      <c r="B40" s="11">
        <v>37</v>
      </c>
      <c r="C40" s="17" t="s">
        <v>11</v>
      </c>
      <c r="D40" s="11" t="s">
        <v>35</v>
      </c>
      <c r="E40" s="2" t="s">
        <v>155</v>
      </c>
      <c r="F40" s="13" t="s">
        <v>156</v>
      </c>
      <c r="G40" s="13" t="s">
        <v>12</v>
      </c>
      <c r="H40" s="13" t="s">
        <v>150</v>
      </c>
      <c r="I40" s="13" t="s">
        <v>151</v>
      </c>
      <c r="J40" s="13" t="s">
        <v>41</v>
      </c>
      <c r="K40" s="13" t="s">
        <v>42</v>
      </c>
      <c r="L40" s="14">
        <v>46157</v>
      </c>
      <c r="M40" s="14"/>
      <c r="N40" s="14">
        <v>46157</v>
      </c>
      <c r="O40" s="13"/>
      <c r="P40" s="13" t="s">
        <v>152</v>
      </c>
      <c r="Q40" s="16" t="b">
        <v>0</v>
      </c>
      <c r="R40" s="15" t="s">
        <v>91</v>
      </c>
      <c r="S40" s="27" t="s">
        <v>92</v>
      </c>
      <c r="T40" s="27"/>
      <c r="U40" s="27" t="str">
        <f>IF(TablaSoporte[[#This Row],[Fecha requerida]]="","N",IF(TablaSoporte[[#This Row],[Fecha requerida]]&lt;=DATE(2026,4,30),"S","N"))</f>
        <v>N</v>
      </c>
      <c r="W40" s="21"/>
    </row>
    <row r="41" spans="2:23" ht="14.5" hidden="1">
      <c r="B41" s="11">
        <v>38</v>
      </c>
      <c r="C41" s="17" t="s">
        <v>11</v>
      </c>
      <c r="D41" s="11" t="s">
        <v>35</v>
      </c>
      <c r="E41" s="2" t="s">
        <v>157</v>
      </c>
      <c r="F41" s="13" t="s">
        <v>158</v>
      </c>
      <c r="G41" s="13" t="s">
        <v>12</v>
      </c>
      <c r="H41" s="13" t="s">
        <v>150</v>
      </c>
      <c r="I41" s="13" t="s">
        <v>151</v>
      </c>
      <c r="J41" s="13" t="s">
        <v>41</v>
      </c>
      <c r="K41" s="13" t="s">
        <v>42</v>
      </c>
      <c r="L41" s="14">
        <v>46157</v>
      </c>
      <c r="M41" s="14"/>
      <c r="N41" s="14">
        <v>46157</v>
      </c>
      <c r="O41" s="13"/>
      <c r="P41" s="13" t="s">
        <v>152</v>
      </c>
      <c r="Q41" s="16" t="b">
        <v>0</v>
      </c>
      <c r="R41" s="15" t="s">
        <v>91</v>
      </c>
      <c r="S41" s="27" t="s">
        <v>92</v>
      </c>
      <c r="T41" s="27"/>
      <c r="U41" s="27" t="str">
        <f>IF(TablaSoporte[[#This Row],[Fecha requerida]]="","N",IF(TablaSoporte[[#This Row],[Fecha requerida]]&lt;=DATE(2026,4,30),"S","N"))</f>
        <v>N</v>
      </c>
      <c r="W41" s="21"/>
    </row>
    <row r="42" spans="2:23" ht="14.5" hidden="1">
      <c r="B42" s="11">
        <v>39</v>
      </c>
      <c r="C42" s="17" t="s">
        <v>11</v>
      </c>
      <c r="D42" s="11" t="s">
        <v>35</v>
      </c>
      <c r="E42" s="2" t="s">
        <v>98</v>
      </c>
      <c r="F42" s="13" t="s">
        <v>159</v>
      </c>
      <c r="G42" s="13" t="s">
        <v>12</v>
      </c>
      <c r="H42" s="13" t="s">
        <v>150</v>
      </c>
      <c r="I42" s="13" t="s">
        <v>151</v>
      </c>
      <c r="J42" s="13" t="s">
        <v>41</v>
      </c>
      <c r="K42" s="13" t="s">
        <v>42</v>
      </c>
      <c r="L42" s="14">
        <v>46157</v>
      </c>
      <c r="M42" s="14"/>
      <c r="N42" s="14">
        <v>46157</v>
      </c>
      <c r="O42" s="13"/>
      <c r="P42" s="13" t="s">
        <v>152</v>
      </c>
      <c r="Q42" s="16" t="b">
        <v>0</v>
      </c>
      <c r="R42" s="15" t="s">
        <v>91</v>
      </c>
      <c r="S42" s="27" t="s">
        <v>92</v>
      </c>
      <c r="T42" s="27"/>
      <c r="U42" s="27" t="str">
        <f>IF(TablaSoporte[[#This Row],[Fecha requerida]]="","N",IF(TablaSoporte[[#This Row],[Fecha requerida]]&lt;=DATE(2026,4,30),"S","N"))</f>
        <v>N</v>
      </c>
      <c r="W42" s="21"/>
    </row>
    <row r="43" spans="2:23" ht="14.5" hidden="1">
      <c r="B43" s="11">
        <v>40</v>
      </c>
      <c r="C43" s="17" t="s">
        <v>11</v>
      </c>
      <c r="D43" s="11" t="s">
        <v>35</v>
      </c>
      <c r="E43" s="2" t="s">
        <v>127</v>
      </c>
      <c r="F43" s="13" t="s">
        <v>128</v>
      </c>
      <c r="G43" s="13" t="s">
        <v>12</v>
      </c>
      <c r="H43" s="13" t="s">
        <v>150</v>
      </c>
      <c r="I43" s="13" t="s">
        <v>151</v>
      </c>
      <c r="J43" s="13" t="s">
        <v>41</v>
      </c>
      <c r="K43" s="13" t="s">
        <v>42</v>
      </c>
      <c r="L43" s="14">
        <v>46157</v>
      </c>
      <c r="M43" s="14"/>
      <c r="N43" s="14">
        <v>46157</v>
      </c>
      <c r="O43" s="13"/>
      <c r="P43" s="13" t="s">
        <v>152</v>
      </c>
      <c r="Q43" s="16" t="b">
        <v>0</v>
      </c>
      <c r="R43" s="15" t="s">
        <v>91</v>
      </c>
      <c r="S43" s="27" t="s">
        <v>92</v>
      </c>
      <c r="T43" s="27"/>
      <c r="U43" s="27" t="str">
        <f>IF(TablaSoporte[[#This Row],[Fecha requerida]]="","N",IF(TablaSoporte[[#This Row],[Fecha requerida]]&lt;=DATE(2026,4,30),"S","N"))</f>
        <v>N</v>
      </c>
      <c r="W43" s="21"/>
    </row>
    <row r="44" spans="2:23" ht="14.5" hidden="1">
      <c r="B44" s="11">
        <v>41</v>
      </c>
      <c r="C44" s="17" t="s">
        <v>11</v>
      </c>
      <c r="D44" s="11" t="s">
        <v>35</v>
      </c>
      <c r="E44" s="2" t="s">
        <v>129</v>
      </c>
      <c r="F44" s="13" t="s">
        <v>130</v>
      </c>
      <c r="G44" s="13" t="s">
        <v>12</v>
      </c>
      <c r="H44" s="13" t="s">
        <v>150</v>
      </c>
      <c r="I44" s="13" t="s">
        <v>151</v>
      </c>
      <c r="J44" s="13" t="s">
        <v>41</v>
      </c>
      <c r="K44" s="13" t="s">
        <v>42</v>
      </c>
      <c r="L44" s="14">
        <v>46157</v>
      </c>
      <c r="M44" s="14"/>
      <c r="N44" s="14">
        <v>46157</v>
      </c>
      <c r="O44" s="13"/>
      <c r="P44" s="13" t="s">
        <v>152</v>
      </c>
      <c r="Q44" s="16" t="b">
        <v>0</v>
      </c>
      <c r="R44" s="15" t="s">
        <v>91</v>
      </c>
      <c r="S44" s="27" t="s">
        <v>92</v>
      </c>
      <c r="T44" s="27"/>
      <c r="U44" s="27" t="str">
        <f>IF(TablaSoporte[[#This Row],[Fecha requerida]]="","N",IF(TablaSoporte[[#This Row],[Fecha requerida]]&lt;=DATE(2026,4,30),"S","N"))</f>
        <v>N</v>
      </c>
      <c r="W44" s="21"/>
    </row>
    <row r="45" spans="2:23" ht="14.5" hidden="1">
      <c r="B45" s="11">
        <v>42</v>
      </c>
      <c r="C45" s="17" t="s">
        <v>11</v>
      </c>
      <c r="D45" s="11" t="s">
        <v>35</v>
      </c>
      <c r="E45" s="2" t="s">
        <v>131</v>
      </c>
      <c r="F45" s="13" t="s">
        <v>132</v>
      </c>
      <c r="G45" s="13" t="s">
        <v>12</v>
      </c>
      <c r="H45" s="13" t="s">
        <v>150</v>
      </c>
      <c r="I45" s="13" t="s">
        <v>151</v>
      </c>
      <c r="J45" s="13" t="s">
        <v>41</v>
      </c>
      <c r="K45" s="13" t="s">
        <v>42</v>
      </c>
      <c r="L45" s="14">
        <v>46157</v>
      </c>
      <c r="M45" s="14"/>
      <c r="N45" s="14">
        <v>46157</v>
      </c>
      <c r="O45" s="13"/>
      <c r="P45" s="13" t="s">
        <v>152</v>
      </c>
      <c r="Q45" s="16" t="b">
        <v>0</v>
      </c>
      <c r="R45" s="15" t="s">
        <v>91</v>
      </c>
      <c r="S45" s="27" t="s">
        <v>92</v>
      </c>
      <c r="T45" s="27"/>
      <c r="U45" s="27" t="str">
        <f>IF(TablaSoporte[[#This Row],[Fecha requerida]]="","N",IF(TablaSoporte[[#This Row],[Fecha requerida]]&lt;=DATE(2026,4,30),"S","N"))</f>
        <v>N</v>
      </c>
      <c r="W45" s="21"/>
    </row>
    <row r="46" spans="2:23" ht="14.5" hidden="1">
      <c r="B46" s="11">
        <v>43</v>
      </c>
      <c r="C46" s="17" t="s">
        <v>11</v>
      </c>
      <c r="D46" s="11" t="s">
        <v>35</v>
      </c>
      <c r="E46" s="2" t="s">
        <v>133</v>
      </c>
      <c r="F46" s="13" t="s">
        <v>134</v>
      </c>
      <c r="G46" s="13" t="s">
        <v>12</v>
      </c>
      <c r="H46" s="13" t="s">
        <v>150</v>
      </c>
      <c r="I46" s="13" t="s">
        <v>151</v>
      </c>
      <c r="J46" s="13" t="s">
        <v>41</v>
      </c>
      <c r="K46" s="13" t="s">
        <v>42</v>
      </c>
      <c r="L46" s="14">
        <v>46157</v>
      </c>
      <c r="M46" s="14"/>
      <c r="N46" s="14">
        <v>46157</v>
      </c>
      <c r="O46" s="13"/>
      <c r="P46" s="13" t="s">
        <v>152</v>
      </c>
      <c r="Q46" s="16" t="b">
        <v>0</v>
      </c>
      <c r="R46" s="15" t="s">
        <v>91</v>
      </c>
      <c r="S46" s="27" t="s">
        <v>92</v>
      </c>
      <c r="T46" s="27"/>
      <c r="U46" s="27" t="str">
        <f>IF(TablaSoporte[[#This Row],[Fecha requerida]]="","N",IF(TablaSoporte[[#This Row],[Fecha requerida]]&lt;=DATE(2026,4,30),"S","N"))</f>
        <v>N</v>
      </c>
      <c r="W46" s="21"/>
    </row>
    <row r="47" spans="2:23" ht="14.5" hidden="1">
      <c r="B47" s="11">
        <v>44</v>
      </c>
      <c r="C47" s="17" t="s">
        <v>11</v>
      </c>
      <c r="D47" s="11" t="s">
        <v>35</v>
      </c>
      <c r="E47" s="2" t="s">
        <v>135</v>
      </c>
      <c r="F47" s="13" t="s">
        <v>136</v>
      </c>
      <c r="G47" s="13" t="s">
        <v>12</v>
      </c>
      <c r="H47" s="13" t="s">
        <v>150</v>
      </c>
      <c r="I47" s="13" t="s">
        <v>151</v>
      </c>
      <c r="J47" s="13" t="s">
        <v>41</v>
      </c>
      <c r="K47" s="13" t="s">
        <v>42</v>
      </c>
      <c r="L47" s="14">
        <v>46157</v>
      </c>
      <c r="M47" s="14"/>
      <c r="N47" s="14">
        <v>46157</v>
      </c>
      <c r="O47" s="13"/>
      <c r="P47" s="13" t="s">
        <v>152</v>
      </c>
      <c r="Q47" s="16" t="b">
        <v>0</v>
      </c>
      <c r="R47" s="15" t="s">
        <v>91</v>
      </c>
      <c r="S47" s="27" t="s">
        <v>92</v>
      </c>
      <c r="T47" s="27"/>
      <c r="U47" s="27" t="str">
        <f>IF(TablaSoporte[[#This Row],[Fecha requerida]]="","N",IF(TablaSoporte[[#This Row],[Fecha requerida]]&lt;=DATE(2026,4,30),"S","N"))</f>
        <v>N</v>
      </c>
      <c r="W47" s="21"/>
    </row>
    <row r="48" spans="2:23" ht="14.5" hidden="1">
      <c r="B48" s="11">
        <v>45</v>
      </c>
      <c r="C48" s="17" t="s">
        <v>11</v>
      </c>
      <c r="D48" s="11" t="s">
        <v>35</v>
      </c>
      <c r="E48" s="2" t="s">
        <v>137</v>
      </c>
      <c r="F48" s="13" t="s">
        <v>119</v>
      </c>
      <c r="G48" s="13" t="s">
        <v>12</v>
      </c>
      <c r="H48" s="13" t="s">
        <v>150</v>
      </c>
      <c r="I48" s="13" t="s">
        <v>151</v>
      </c>
      <c r="J48" s="13" t="s">
        <v>41</v>
      </c>
      <c r="K48" s="13" t="s">
        <v>42</v>
      </c>
      <c r="L48" s="14">
        <v>46157</v>
      </c>
      <c r="M48" s="14"/>
      <c r="N48" s="14">
        <v>46157</v>
      </c>
      <c r="O48" s="13"/>
      <c r="P48" s="13" t="s">
        <v>152</v>
      </c>
      <c r="Q48" s="16" t="b">
        <v>0</v>
      </c>
      <c r="R48" s="15" t="s">
        <v>91</v>
      </c>
      <c r="S48" s="27" t="s">
        <v>92</v>
      </c>
      <c r="T48" s="27"/>
      <c r="U48" s="27" t="str">
        <f>IF(TablaSoporte[[#This Row],[Fecha requerida]]="","N",IF(TablaSoporte[[#This Row],[Fecha requerida]]&lt;=DATE(2026,4,30),"S","N"))</f>
        <v>N</v>
      </c>
      <c r="W48" s="21"/>
    </row>
    <row r="49" spans="2:25" ht="14.5" hidden="1">
      <c r="B49" s="11">
        <v>46</v>
      </c>
      <c r="C49" s="17" t="s">
        <v>11</v>
      </c>
      <c r="D49" s="11" t="s">
        <v>35</v>
      </c>
      <c r="E49" s="2" t="s">
        <v>138</v>
      </c>
      <c r="F49" s="13" t="s">
        <v>139</v>
      </c>
      <c r="G49" s="13" t="s">
        <v>12</v>
      </c>
      <c r="H49" s="13" t="s">
        <v>150</v>
      </c>
      <c r="I49" s="13" t="s">
        <v>151</v>
      </c>
      <c r="J49" s="13" t="s">
        <v>41</v>
      </c>
      <c r="K49" s="13" t="s">
        <v>42</v>
      </c>
      <c r="L49" s="14">
        <v>46157</v>
      </c>
      <c r="M49" s="14"/>
      <c r="N49" s="14">
        <v>46157</v>
      </c>
      <c r="O49" s="13"/>
      <c r="P49" s="13" t="s">
        <v>152</v>
      </c>
      <c r="Q49" s="16" t="b">
        <v>0</v>
      </c>
      <c r="R49" s="15" t="s">
        <v>91</v>
      </c>
      <c r="S49" s="27" t="s">
        <v>92</v>
      </c>
      <c r="T49" s="27"/>
      <c r="U49" s="27" t="str">
        <f>IF(TablaSoporte[[#This Row],[Fecha requerida]]="","N",IF(TablaSoporte[[#This Row],[Fecha requerida]]&lt;=DATE(2026,4,30),"S","N"))</f>
        <v>N</v>
      </c>
      <c r="W49" s="21"/>
    </row>
    <row r="50" spans="2:25" ht="14.5" hidden="1">
      <c r="B50" s="11">
        <v>47</v>
      </c>
      <c r="C50" s="17" t="s">
        <v>11</v>
      </c>
      <c r="D50" s="11" t="s">
        <v>35</v>
      </c>
      <c r="E50" s="2" t="s">
        <v>140</v>
      </c>
      <c r="F50" s="13" t="s">
        <v>141</v>
      </c>
      <c r="G50" s="13" t="s">
        <v>12</v>
      </c>
      <c r="H50" s="13" t="s">
        <v>150</v>
      </c>
      <c r="I50" s="13" t="s">
        <v>151</v>
      </c>
      <c r="J50" s="13" t="s">
        <v>41</v>
      </c>
      <c r="K50" s="13" t="s">
        <v>42</v>
      </c>
      <c r="L50" s="14">
        <v>46157</v>
      </c>
      <c r="M50" s="14"/>
      <c r="N50" s="14">
        <v>46157</v>
      </c>
      <c r="O50" s="13"/>
      <c r="P50" s="13" t="s">
        <v>152</v>
      </c>
      <c r="Q50" s="16" t="b">
        <v>0</v>
      </c>
      <c r="R50" s="15" t="s">
        <v>91</v>
      </c>
      <c r="S50" s="27" t="s">
        <v>92</v>
      </c>
      <c r="T50" s="27"/>
      <c r="U50" s="27" t="str">
        <f>IF(TablaSoporte[[#This Row],[Fecha requerida]]="","N",IF(TablaSoporte[[#This Row],[Fecha requerida]]&lt;=DATE(2026,4,30),"S","N"))</f>
        <v>N</v>
      </c>
      <c r="W50" s="21"/>
    </row>
    <row r="51" spans="2:25" ht="14.5" hidden="1">
      <c r="B51" s="11">
        <v>48</v>
      </c>
      <c r="C51" s="17" t="s">
        <v>11</v>
      </c>
      <c r="D51" s="11" t="s">
        <v>35</v>
      </c>
      <c r="E51" s="2" t="s">
        <v>142</v>
      </c>
      <c r="F51" s="13" t="s">
        <v>143</v>
      </c>
      <c r="G51" s="13" t="s">
        <v>12</v>
      </c>
      <c r="H51" s="13" t="s">
        <v>150</v>
      </c>
      <c r="I51" s="13" t="s">
        <v>151</v>
      </c>
      <c r="J51" s="13" t="s">
        <v>41</v>
      </c>
      <c r="K51" s="13" t="s">
        <v>42</v>
      </c>
      <c r="L51" s="14">
        <v>46157</v>
      </c>
      <c r="M51" s="14"/>
      <c r="N51" s="14">
        <v>46157</v>
      </c>
      <c r="O51" s="13"/>
      <c r="P51" s="13" t="s">
        <v>152</v>
      </c>
      <c r="Q51" s="16" t="b">
        <v>0</v>
      </c>
      <c r="R51" s="15" t="s">
        <v>91</v>
      </c>
      <c r="S51" s="27" t="s">
        <v>92</v>
      </c>
      <c r="T51" s="27"/>
      <c r="U51" s="27" t="str">
        <f>IF(TablaSoporte[[#This Row],[Fecha requerida]]="","N",IF(TablaSoporte[[#This Row],[Fecha requerida]]&lt;=DATE(2026,4,30),"S","N"))</f>
        <v>N</v>
      </c>
      <c r="W51" s="21"/>
    </row>
    <row r="52" spans="2:25" ht="14.5" hidden="1">
      <c r="B52" s="11">
        <v>49</v>
      </c>
      <c r="C52" s="17" t="s">
        <v>11</v>
      </c>
      <c r="D52" s="11" t="s">
        <v>35</v>
      </c>
      <c r="E52" s="2" t="s">
        <v>144</v>
      </c>
      <c r="F52" s="13" t="s">
        <v>145</v>
      </c>
      <c r="G52" s="13" t="s">
        <v>12</v>
      </c>
      <c r="H52" s="13" t="s">
        <v>150</v>
      </c>
      <c r="I52" s="13" t="s">
        <v>151</v>
      </c>
      <c r="J52" s="13" t="s">
        <v>41</v>
      </c>
      <c r="K52" s="13" t="s">
        <v>42</v>
      </c>
      <c r="L52" s="14">
        <v>46157</v>
      </c>
      <c r="M52" s="14"/>
      <c r="N52" s="14">
        <v>46157</v>
      </c>
      <c r="O52" s="13"/>
      <c r="P52" s="13" t="s">
        <v>152</v>
      </c>
      <c r="Q52" s="16" t="b">
        <v>0</v>
      </c>
      <c r="R52" s="15" t="s">
        <v>91</v>
      </c>
      <c r="S52" s="27" t="s">
        <v>92</v>
      </c>
      <c r="T52" s="27"/>
      <c r="U52" s="27" t="str">
        <f>IF(TablaSoporte[[#This Row],[Fecha requerida]]="","N",IF(TablaSoporte[[#This Row],[Fecha requerida]]&lt;=DATE(2026,4,30),"S","N"))</f>
        <v>N</v>
      </c>
      <c r="W52" s="21"/>
    </row>
    <row r="53" spans="2:25" ht="14.5" hidden="1">
      <c r="B53" s="11">
        <v>50</v>
      </c>
      <c r="C53" s="17" t="s">
        <v>11</v>
      </c>
      <c r="D53" s="11" t="s">
        <v>35</v>
      </c>
      <c r="E53" s="2" t="s">
        <v>146</v>
      </c>
      <c r="F53" s="13" t="s">
        <v>147</v>
      </c>
      <c r="G53" s="13" t="s">
        <v>12</v>
      </c>
      <c r="H53" s="13" t="s">
        <v>150</v>
      </c>
      <c r="I53" s="13" t="s">
        <v>151</v>
      </c>
      <c r="J53" s="13" t="s">
        <v>41</v>
      </c>
      <c r="K53" s="13" t="s">
        <v>42</v>
      </c>
      <c r="L53" s="14">
        <v>46157</v>
      </c>
      <c r="M53" s="14"/>
      <c r="N53" s="14">
        <v>46157</v>
      </c>
      <c r="O53" s="13"/>
      <c r="P53" s="13" t="s">
        <v>152</v>
      </c>
      <c r="Q53" s="16" t="b">
        <v>0</v>
      </c>
      <c r="R53" s="15" t="s">
        <v>91</v>
      </c>
      <c r="S53" s="27" t="s">
        <v>92</v>
      </c>
      <c r="T53" s="27"/>
      <c r="U53" s="27" t="str">
        <f>IF(TablaSoporte[[#This Row],[Fecha requerida]]="","N",IF(TablaSoporte[[#This Row],[Fecha requerida]]&lt;=DATE(2026,4,30),"S","N"))</f>
        <v>N</v>
      </c>
      <c r="W53" s="21"/>
    </row>
    <row r="54" spans="2:25" ht="14.5" hidden="1">
      <c r="B54" s="11">
        <v>51</v>
      </c>
      <c r="C54" s="17" t="s">
        <v>11</v>
      </c>
      <c r="D54" s="11" t="s">
        <v>35</v>
      </c>
      <c r="E54" s="2" t="s">
        <v>148</v>
      </c>
      <c r="F54" s="13" t="s">
        <v>149</v>
      </c>
      <c r="G54" s="13" t="s">
        <v>12</v>
      </c>
      <c r="H54" s="13" t="s">
        <v>150</v>
      </c>
      <c r="I54" s="13" t="s">
        <v>151</v>
      </c>
      <c r="J54" s="13" t="s">
        <v>41</v>
      </c>
      <c r="K54" s="13" t="s">
        <v>42</v>
      </c>
      <c r="L54" s="14">
        <v>46157</v>
      </c>
      <c r="M54" s="14"/>
      <c r="N54" s="14">
        <v>46157</v>
      </c>
      <c r="O54" s="13"/>
      <c r="P54" s="13" t="s">
        <v>152</v>
      </c>
      <c r="Q54" s="16" t="b">
        <v>0</v>
      </c>
      <c r="R54" s="15" t="s">
        <v>91</v>
      </c>
      <c r="S54" s="27" t="s">
        <v>92</v>
      </c>
      <c r="T54" s="27"/>
      <c r="U54" s="27" t="str">
        <f>IF(TablaSoporte[[#This Row],[Fecha requerida]]="","N",IF(TablaSoporte[[#This Row],[Fecha requerida]]&lt;=DATE(2026,4,30),"S","N"))</f>
        <v>N</v>
      </c>
      <c r="W54" s="21"/>
    </row>
    <row r="55" spans="2:25" ht="14.5">
      <c r="B55" s="11">
        <v>53</v>
      </c>
      <c r="C55" s="17" t="s">
        <v>11</v>
      </c>
      <c r="D55" s="11" t="s">
        <v>35</v>
      </c>
      <c r="E55" s="2" t="s">
        <v>160</v>
      </c>
      <c r="F55" s="13" t="s">
        <v>161</v>
      </c>
      <c r="G55" s="13" t="s">
        <v>162</v>
      </c>
      <c r="H55" s="13" t="s">
        <v>163</v>
      </c>
      <c r="I55" s="13" t="s">
        <v>163</v>
      </c>
      <c r="J55" s="13" t="s">
        <v>41</v>
      </c>
      <c r="K55" s="13" t="s">
        <v>42</v>
      </c>
      <c r="L55" s="14">
        <v>46108</v>
      </c>
      <c r="M55" s="14"/>
      <c r="N55" s="14" t="s">
        <v>43</v>
      </c>
      <c r="O55" s="13"/>
      <c r="P55" s="13" t="s">
        <v>164</v>
      </c>
      <c r="Q55" s="16" t="b">
        <v>1</v>
      </c>
      <c r="R55" s="15" t="s">
        <v>91</v>
      </c>
      <c r="S55" s="27" t="s">
        <v>92</v>
      </c>
      <c r="T55" s="27"/>
      <c r="U55" s="27" t="str">
        <f>IF(TablaSoporte[[#This Row],[Fecha requerida]]="","N",IF(TablaSoporte[[#This Row],[Fecha requerida]]&lt;=DATE(2026,4,30),"S","N"))</f>
        <v>S</v>
      </c>
      <c r="W55" s="21" t="s">
        <v>68</v>
      </c>
      <c r="Y55" t="s">
        <v>165</v>
      </c>
    </row>
    <row r="56" spans="2:25" ht="14.5">
      <c r="B56" s="11">
        <v>54</v>
      </c>
      <c r="C56" s="17" t="s">
        <v>11</v>
      </c>
      <c r="D56" s="11" t="s">
        <v>35</v>
      </c>
      <c r="E56" s="2" t="s">
        <v>166</v>
      </c>
      <c r="F56" s="13" t="s">
        <v>167</v>
      </c>
      <c r="G56" s="13" t="s">
        <v>12</v>
      </c>
      <c r="H56" s="13" t="s">
        <v>150</v>
      </c>
      <c r="I56" s="13" t="s">
        <v>168</v>
      </c>
      <c r="J56" s="13" t="s">
        <v>41</v>
      </c>
      <c r="K56" s="13" t="s">
        <v>42</v>
      </c>
      <c r="L56" s="14">
        <v>46111</v>
      </c>
      <c r="M56" s="14">
        <v>46132</v>
      </c>
      <c r="N56" s="14">
        <v>46142</v>
      </c>
      <c r="O56" s="13"/>
      <c r="P56" s="13" t="s">
        <v>152</v>
      </c>
      <c r="Q56" s="16" t="b">
        <v>1</v>
      </c>
      <c r="R56" s="15" t="s">
        <v>169</v>
      </c>
      <c r="S56" s="27" t="s">
        <v>92</v>
      </c>
      <c r="T56" s="27"/>
      <c r="U56" s="27" t="str">
        <f>IF(TablaSoporte[[#This Row],[Fecha requerida]]="","N",IF(TablaSoporte[[#This Row],[Fecha requerida]]&lt;=DATE(2026,4,30),"S","N"))</f>
        <v>S</v>
      </c>
      <c r="W56" s="21" t="s">
        <v>68</v>
      </c>
    </row>
    <row r="57" spans="2:25" ht="14.5">
      <c r="B57" s="11">
        <v>55</v>
      </c>
      <c r="C57" s="17" t="s">
        <v>11</v>
      </c>
      <c r="D57" s="11" t="s">
        <v>35</v>
      </c>
      <c r="E57" s="2" t="s">
        <v>166</v>
      </c>
      <c r="F57" s="13" t="s">
        <v>167</v>
      </c>
      <c r="G57" s="13" t="s">
        <v>170</v>
      </c>
      <c r="H57" s="13" t="s">
        <v>171</v>
      </c>
      <c r="I57" s="13" t="s">
        <v>172</v>
      </c>
      <c r="J57" s="13" t="s">
        <v>41</v>
      </c>
      <c r="K57" s="13" t="s">
        <v>42</v>
      </c>
      <c r="L57" s="14">
        <v>46142</v>
      </c>
      <c r="M57" s="14">
        <v>46142</v>
      </c>
      <c r="N57" s="14">
        <v>46171</v>
      </c>
      <c r="O57" s="13"/>
      <c r="P57" s="13" t="s">
        <v>173</v>
      </c>
      <c r="Q57" s="16" t="b">
        <v>1</v>
      </c>
      <c r="R57" s="15" t="s">
        <v>91</v>
      </c>
      <c r="S57" s="27" t="s">
        <v>92</v>
      </c>
      <c r="T57" s="27"/>
      <c r="U57" s="27" t="str">
        <f>IF(TablaSoporte[[#This Row],[Fecha requerida]]="","N",IF(TablaSoporte[[#This Row],[Fecha requerida]]&lt;=DATE(2026,4,30),"S","N"))</f>
        <v>S</v>
      </c>
      <c r="W57" s="21" t="s">
        <v>75</v>
      </c>
    </row>
    <row r="58" spans="2:25" ht="14.5">
      <c r="B58" s="11">
        <v>56</v>
      </c>
      <c r="C58" s="17" t="s">
        <v>11</v>
      </c>
      <c r="D58" s="11" t="s">
        <v>35</v>
      </c>
      <c r="E58" s="2" t="s">
        <v>174</v>
      </c>
      <c r="F58" s="13" t="s">
        <v>175</v>
      </c>
      <c r="G58" s="13" t="s">
        <v>170</v>
      </c>
      <c r="H58" s="13" t="s">
        <v>171</v>
      </c>
      <c r="I58" s="13" t="s">
        <v>172</v>
      </c>
      <c r="J58" s="13" t="s">
        <v>41</v>
      </c>
      <c r="K58" s="13" t="s">
        <v>42</v>
      </c>
      <c r="L58" s="14">
        <v>46142</v>
      </c>
      <c r="M58" s="14">
        <v>46142</v>
      </c>
      <c r="N58" s="14">
        <v>46171</v>
      </c>
      <c r="O58" s="13"/>
      <c r="P58" s="13" t="s">
        <v>173</v>
      </c>
      <c r="Q58" s="16" t="b">
        <v>1</v>
      </c>
      <c r="R58" s="15" t="s">
        <v>91</v>
      </c>
      <c r="S58" s="27" t="s">
        <v>92</v>
      </c>
      <c r="T58" s="27"/>
      <c r="U58" s="27" t="str">
        <f>IF(TablaSoporte[[#This Row],[Fecha requerida]]="","N",IF(TablaSoporte[[#This Row],[Fecha requerida]]&lt;=DATE(2026,4,30),"S","N"))</f>
        <v>S</v>
      </c>
      <c r="W58" s="21" t="s">
        <v>75</v>
      </c>
    </row>
    <row r="59" spans="2:25" ht="14.5">
      <c r="B59" s="11">
        <v>57</v>
      </c>
      <c r="C59" s="17" t="s">
        <v>11</v>
      </c>
      <c r="D59" s="11" t="s">
        <v>35</v>
      </c>
      <c r="E59" s="2" t="s">
        <v>166</v>
      </c>
      <c r="F59" s="13" t="s">
        <v>167</v>
      </c>
      <c r="G59" s="13" t="s">
        <v>176</v>
      </c>
      <c r="H59" s="13" t="s">
        <v>177</v>
      </c>
      <c r="I59" s="13" t="s">
        <v>178</v>
      </c>
      <c r="J59" s="13" t="s">
        <v>41</v>
      </c>
      <c r="K59" s="13" t="s">
        <v>42</v>
      </c>
      <c r="L59" s="14">
        <v>46142</v>
      </c>
      <c r="M59" s="14"/>
      <c r="N59" s="14">
        <v>46171</v>
      </c>
      <c r="O59" s="13"/>
      <c r="P59" s="13" t="s">
        <v>176</v>
      </c>
      <c r="Q59" s="16" t="b">
        <v>1</v>
      </c>
      <c r="R59" s="15" t="s">
        <v>179</v>
      </c>
      <c r="S59" s="27" t="s">
        <v>92</v>
      </c>
      <c r="T59" s="27"/>
      <c r="U59" s="27" t="str">
        <f>IF(TablaSoporte[[#This Row],[Fecha requerida]]="","N",IF(TablaSoporte[[#This Row],[Fecha requerida]]&lt;=DATE(2026,4,30),"S","N"))</f>
        <v>S</v>
      </c>
      <c r="W59" s="21" t="s">
        <v>45</v>
      </c>
    </row>
    <row r="60" spans="2:25" ht="14.5">
      <c r="B60" s="11">
        <v>58</v>
      </c>
      <c r="C60" s="17" t="s">
        <v>11</v>
      </c>
      <c r="D60" s="11" t="s">
        <v>35</v>
      </c>
      <c r="E60" s="2" t="s">
        <v>174</v>
      </c>
      <c r="F60" s="13" t="s">
        <v>175</v>
      </c>
      <c r="G60" s="13" t="s">
        <v>176</v>
      </c>
      <c r="H60" s="13" t="s">
        <v>177</v>
      </c>
      <c r="I60" s="13" t="s">
        <v>178</v>
      </c>
      <c r="J60" s="13" t="s">
        <v>41</v>
      </c>
      <c r="K60" s="13" t="s">
        <v>42</v>
      </c>
      <c r="L60" s="14">
        <v>46142</v>
      </c>
      <c r="M60" s="14"/>
      <c r="N60" s="14">
        <v>46171</v>
      </c>
      <c r="O60" s="13"/>
      <c r="P60" s="13" t="s">
        <v>176</v>
      </c>
      <c r="Q60" s="16" t="b">
        <v>1</v>
      </c>
      <c r="R60" s="15" t="s">
        <v>179</v>
      </c>
      <c r="S60" s="27" t="s">
        <v>92</v>
      </c>
      <c r="T60" s="27"/>
      <c r="U60" s="27" t="str">
        <f>IF(TablaSoporte[[#This Row],[Fecha requerida]]="","N",IF(TablaSoporte[[#This Row],[Fecha requerida]]&lt;=DATE(2026,4,30),"S","N"))</f>
        <v>S</v>
      </c>
      <c r="W60" s="21" t="s">
        <v>45</v>
      </c>
    </row>
    <row r="61" spans="2:25" ht="14.5">
      <c r="B61" s="11">
        <v>59</v>
      </c>
      <c r="C61" s="17" t="s">
        <v>11</v>
      </c>
      <c r="D61" s="11" t="s">
        <v>35</v>
      </c>
      <c r="E61" s="2" t="s">
        <v>166</v>
      </c>
      <c r="F61" s="13" t="s">
        <v>180</v>
      </c>
      <c r="G61" s="13" t="s">
        <v>38</v>
      </c>
      <c r="H61" s="13" t="s">
        <v>181</v>
      </c>
      <c r="I61" s="13" t="s">
        <v>182</v>
      </c>
      <c r="J61" s="13" t="s">
        <v>41</v>
      </c>
      <c r="K61" s="13" t="s">
        <v>42</v>
      </c>
      <c r="L61" s="14">
        <v>46142</v>
      </c>
      <c r="M61" s="14"/>
      <c r="N61" s="14"/>
      <c r="O61" s="13"/>
      <c r="P61" s="13" t="s">
        <v>102</v>
      </c>
      <c r="Q61" s="16" t="b">
        <v>1</v>
      </c>
      <c r="R61" s="15" t="s">
        <v>91</v>
      </c>
      <c r="S61" s="27" t="s">
        <v>92</v>
      </c>
      <c r="T61" s="27" t="s">
        <v>183</v>
      </c>
      <c r="U61" s="27" t="str">
        <f>IF(TablaSoporte[[#This Row],[Fecha requerida]]="","N",IF(TablaSoporte[[#This Row],[Fecha requerida]]&lt;=DATE(2026,4,30),"S","N"))</f>
        <v>S</v>
      </c>
      <c r="W61" s="21" t="s">
        <v>45</v>
      </c>
    </row>
    <row r="62" spans="2:25" ht="14.5">
      <c r="B62" s="11">
        <v>60</v>
      </c>
      <c r="C62" s="17" t="s">
        <v>11</v>
      </c>
      <c r="D62" s="11" t="s">
        <v>35</v>
      </c>
      <c r="E62" s="2" t="s">
        <v>85</v>
      </c>
      <c r="F62" s="13" t="s">
        <v>86</v>
      </c>
      <c r="G62" s="13" t="s">
        <v>5</v>
      </c>
      <c r="H62" s="13" t="s">
        <v>184</v>
      </c>
      <c r="I62" s="13" t="s">
        <v>185</v>
      </c>
      <c r="J62" s="13" t="s">
        <v>41</v>
      </c>
      <c r="K62" s="13" t="s">
        <v>42</v>
      </c>
      <c r="L62" s="14">
        <v>46142</v>
      </c>
      <c r="M62" s="14"/>
      <c r="N62" s="14" t="s">
        <v>43</v>
      </c>
      <c r="O62" s="13"/>
      <c r="P62" s="13" t="s">
        <v>186</v>
      </c>
      <c r="Q62" s="16" t="b">
        <v>1</v>
      </c>
      <c r="R62" s="15" t="s">
        <v>91</v>
      </c>
      <c r="S62" s="27" t="s">
        <v>92</v>
      </c>
      <c r="T62" s="14" t="s">
        <v>187</v>
      </c>
      <c r="U62" s="27" t="str">
        <f>IF(TablaSoporte[[#This Row],[Fecha requerida]]="","N",IF(TablaSoporte[[#This Row],[Fecha requerida]]&lt;=DATE(2026,4,30),"S","N"))</f>
        <v>S</v>
      </c>
      <c r="W62" s="21" t="s">
        <v>45</v>
      </c>
    </row>
    <row r="63" spans="2:25" ht="14.5">
      <c r="B63" s="11">
        <v>61</v>
      </c>
      <c r="C63" s="17" t="s">
        <v>11</v>
      </c>
      <c r="D63" s="11" t="s">
        <v>35</v>
      </c>
      <c r="E63" s="2" t="s">
        <v>85</v>
      </c>
      <c r="F63" s="13" t="s">
        <v>86</v>
      </c>
      <c r="G63" s="13" t="s">
        <v>9</v>
      </c>
      <c r="H63" s="13" t="s">
        <v>188</v>
      </c>
      <c r="I63" s="13" t="s">
        <v>189</v>
      </c>
      <c r="J63" s="13" t="s">
        <v>41</v>
      </c>
      <c r="K63" s="13" t="s">
        <v>42</v>
      </c>
      <c r="L63" s="14">
        <v>46142</v>
      </c>
      <c r="M63" s="14"/>
      <c r="N63" s="14">
        <v>46142</v>
      </c>
      <c r="O63" s="13"/>
      <c r="P63" s="13" t="s">
        <v>190</v>
      </c>
      <c r="Q63" s="16" t="b">
        <v>1</v>
      </c>
      <c r="R63" s="15" t="s">
        <v>169</v>
      </c>
      <c r="S63" s="27" t="s">
        <v>92</v>
      </c>
      <c r="T63" s="27"/>
      <c r="U63" s="27" t="str">
        <f>IF(TablaSoporte[[#This Row],[Fecha requerida]]="","N",IF(TablaSoporte[[#This Row],[Fecha requerida]]&lt;=DATE(2026,4,30),"S","N"))</f>
        <v>S</v>
      </c>
      <c r="W63" s="21" t="s">
        <v>45</v>
      </c>
    </row>
    <row r="64" spans="2:25" ht="14.5">
      <c r="B64" s="11">
        <v>62</v>
      </c>
      <c r="C64" s="17" t="s">
        <v>11</v>
      </c>
      <c r="D64" s="11" t="s">
        <v>35</v>
      </c>
      <c r="E64" s="2" t="s">
        <v>174</v>
      </c>
      <c r="F64" s="13" t="s">
        <v>175</v>
      </c>
      <c r="G64" s="13" t="s">
        <v>12</v>
      </c>
      <c r="H64" s="13" t="s">
        <v>150</v>
      </c>
      <c r="I64" s="13" t="s">
        <v>168</v>
      </c>
      <c r="J64" s="13" t="s">
        <v>41</v>
      </c>
      <c r="K64" s="13" t="s">
        <v>42</v>
      </c>
      <c r="L64" s="14">
        <v>46111</v>
      </c>
      <c r="M64" s="14">
        <v>46132</v>
      </c>
      <c r="N64" s="14">
        <v>46142</v>
      </c>
      <c r="O64" s="13"/>
      <c r="P64" s="13" t="s">
        <v>152</v>
      </c>
      <c r="Q64" s="16" t="b">
        <v>1</v>
      </c>
      <c r="R64" s="15" t="s">
        <v>169</v>
      </c>
      <c r="S64" s="27" t="s">
        <v>92</v>
      </c>
      <c r="T64" s="27"/>
      <c r="U64" s="27" t="str">
        <f>IF(TablaSoporte[[#This Row],[Fecha requerida]]="","N",IF(TablaSoporte[[#This Row],[Fecha requerida]]&lt;=DATE(2026,4,30),"S","N"))</f>
        <v>S</v>
      </c>
      <c r="W64" s="21" t="s">
        <v>45</v>
      </c>
    </row>
    <row r="65" spans="2:25" ht="14.5">
      <c r="B65" s="11">
        <v>63</v>
      </c>
      <c r="C65" s="17" t="s">
        <v>11</v>
      </c>
      <c r="D65" s="11" t="s">
        <v>35</v>
      </c>
      <c r="E65" s="2" t="s">
        <v>85</v>
      </c>
      <c r="F65" s="13" t="s">
        <v>191</v>
      </c>
      <c r="G65" s="13" t="s">
        <v>9</v>
      </c>
      <c r="H65" s="13" t="s">
        <v>188</v>
      </c>
      <c r="I65" s="13" t="s">
        <v>192</v>
      </c>
      <c r="J65" s="13" t="s">
        <v>41</v>
      </c>
      <c r="K65" s="13" t="s">
        <v>42</v>
      </c>
      <c r="L65" s="14">
        <v>46118</v>
      </c>
      <c r="M65" s="14">
        <v>46129</v>
      </c>
      <c r="N65" s="14">
        <v>46118</v>
      </c>
      <c r="O65" s="13"/>
      <c r="P65" s="13" t="s">
        <v>190</v>
      </c>
      <c r="Q65" s="16" t="b">
        <v>1</v>
      </c>
      <c r="R65" s="15" t="s">
        <v>169</v>
      </c>
      <c r="S65" s="27" t="s">
        <v>92</v>
      </c>
      <c r="T65" s="27"/>
      <c r="U65" s="27" t="str">
        <f>IF(TablaSoporte[[#This Row],[Fecha requerida]]="","N",IF(TablaSoporte[[#This Row],[Fecha requerida]]&lt;=DATE(2026,4,30),"S","N"))</f>
        <v>S</v>
      </c>
      <c r="W65" s="21" t="s">
        <v>45</v>
      </c>
      <c r="Y65" t="s">
        <v>193</v>
      </c>
    </row>
    <row r="66" spans="2:25" ht="14.5">
      <c r="B66" s="11">
        <v>64</v>
      </c>
      <c r="C66" s="17" t="s">
        <v>11</v>
      </c>
      <c r="D66" s="11" t="s">
        <v>35</v>
      </c>
      <c r="E66" s="2" t="s">
        <v>85</v>
      </c>
      <c r="F66" s="13" t="s">
        <v>86</v>
      </c>
      <c r="G66" s="13" t="s">
        <v>9</v>
      </c>
      <c r="H66" s="13" t="s">
        <v>194</v>
      </c>
      <c r="I66" s="13" t="s">
        <v>195</v>
      </c>
      <c r="J66" s="13" t="s">
        <v>41</v>
      </c>
      <c r="K66" s="13" t="s">
        <v>42</v>
      </c>
      <c r="L66" s="14">
        <v>46142</v>
      </c>
      <c r="M66" s="14"/>
      <c r="N66" s="14"/>
      <c r="O66" s="13"/>
      <c r="P66" s="13" t="s">
        <v>190</v>
      </c>
      <c r="Q66" s="16" t="b">
        <v>1</v>
      </c>
      <c r="R66" s="15" t="s">
        <v>169</v>
      </c>
      <c r="S66" s="27" t="s">
        <v>92</v>
      </c>
      <c r="T66" s="14" t="s">
        <v>187</v>
      </c>
      <c r="U66" s="27" t="str">
        <f>IF(TablaSoporte[[#This Row],[Fecha requerida]]="","N",IF(TablaSoporte[[#This Row],[Fecha requerida]]&lt;=DATE(2026,4,30),"S","N"))</f>
        <v>S</v>
      </c>
      <c r="W66" s="21" t="s">
        <v>45</v>
      </c>
    </row>
    <row r="67" spans="2:25" ht="14.5">
      <c r="B67" s="11">
        <v>65</v>
      </c>
      <c r="C67" s="17" t="s">
        <v>11</v>
      </c>
      <c r="D67" s="11" t="s">
        <v>35</v>
      </c>
      <c r="E67" s="2" t="s">
        <v>160</v>
      </c>
      <c r="F67" s="13" t="s">
        <v>161</v>
      </c>
      <c r="G67" s="13" t="s">
        <v>5</v>
      </c>
      <c r="H67" s="13" t="s">
        <v>196</v>
      </c>
      <c r="I67" s="13" t="s">
        <v>197</v>
      </c>
      <c r="J67" s="13" t="s">
        <v>41</v>
      </c>
      <c r="K67" s="13" t="s">
        <v>42</v>
      </c>
      <c r="L67" s="14">
        <v>46142</v>
      </c>
      <c r="M67" s="14"/>
      <c r="N67" s="14">
        <v>46293</v>
      </c>
      <c r="O67" s="13"/>
      <c r="P67" s="13" t="s">
        <v>186</v>
      </c>
      <c r="Q67" s="16" t="b">
        <v>1</v>
      </c>
      <c r="R67" s="15" t="s">
        <v>91</v>
      </c>
      <c r="S67" s="27" t="s">
        <v>92</v>
      </c>
      <c r="T67" s="27"/>
      <c r="U67" s="27" t="str">
        <f>IF(TablaSoporte[[#This Row],[Fecha requerida]]="","N",IF(TablaSoporte[[#This Row],[Fecha requerida]]&lt;=DATE(2026,4,30),"S","N"))</f>
        <v>S</v>
      </c>
      <c r="W67" s="21" t="s">
        <v>75</v>
      </c>
    </row>
    <row r="68" spans="2:25" ht="14.5" hidden="1">
      <c r="B68" s="11">
        <v>66</v>
      </c>
      <c r="C68" s="17" t="s">
        <v>11</v>
      </c>
      <c r="D68" s="11" t="s">
        <v>35</v>
      </c>
      <c r="E68" s="2" t="s">
        <v>198</v>
      </c>
      <c r="F68" s="13" t="s">
        <v>199</v>
      </c>
      <c r="G68" s="13" t="s">
        <v>106</v>
      </c>
      <c r="H68" s="13" t="s">
        <v>107</v>
      </c>
      <c r="I68" s="13" t="s">
        <v>108</v>
      </c>
      <c r="J68" s="13" t="s">
        <v>41</v>
      </c>
      <c r="K68" s="13" t="s">
        <v>42</v>
      </c>
      <c r="L68" s="14">
        <v>46157</v>
      </c>
      <c r="M68" s="14"/>
      <c r="N68" s="14" t="s">
        <v>43</v>
      </c>
      <c r="O68" s="13"/>
      <c r="P68" s="13" t="s">
        <v>109</v>
      </c>
      <c r="Q68" s="16" t="b">
        <v>0</v>
      </c>
      <c r="R68" s="15" t="s">
        <v>103</v>
      </c>
      <c r="S68" s="27" t="s">
        <v>92</v>
      </c>
      <c r="T68" s="27"/>
      <c r="U68" s="27" t="str">
        <f>IF(TablaSoporte[[#This Row],[Fecha requerida]]="","N",IF(TablaSoporte[[#This Row],[Fecha requerida]]&lt;=DATE(2026,4,30),"S","N"))</f>
        <v>N</v>
      </c>
      <c r="W68" s="21" t="s">
        <v>75</v>
      </c>
    </row>
    <row r="69" spans="2:25" ht="14.5" hidden="1">
      <c r="B69" s="11">
        <v>67</v>
      </c>
      <c r="C69" s="17" t="s">
        <v>11</v>
      </c>
      <c r="D69" s="11" t="s">
        <v>35</v>
      </c>
      <c r="E69" s="2" t="s">
        <v>200</v>
      </c>
      <c r="F69" s="13" t="s">
        <v>201</v>
      </c>
      <c r="G69" s="13" t="s">
        <v>106</v>
      </c>
      <c r="H69" s="13" t="s">
        <v>107</v>
      </c>
      <c r="I69" s="13" t="s">
        <v>108</v>
      </c>
      <c r="J69" s="13" t="s">
        <v>41</v>
      </c>
      <c r="K69" s="13" t="s">
        <v>42</v>
      </c>
      <c r="L69" s="14">
        <v>46157</v>
      </c>
      <c r="M69" s="14"/>
      <c r="N69" s="14" t="s">
        <v>43</v>
      </c>
      <c r="O69" s="13"/>
      <c r="P69" s="13" t="s">
        <v>109</v>
      </c>
      <c r="Q69" s="16" t="b">
        <v>0</v>
      </c>
      <c r="R69" s="15" t="s">
        <v>103</v>
      </c>
      <c r="S69" s="27" t="s">
        <v>92</v>
      </c>
      <c r="T69" s="27"/>
      <c r="U69" s="27" t="str">
        <f>IF(TablaSoporte[[#This Row],[Fecha requerida]]="","N",IF(TablaSoporte[[#This Row],[Fecha requerida]]&lt;=DATE(2026,4,30),"S","N"))</f>
        <v>N</v>
      </c>
      <c r="W69" s="21"/>
    </row>
    <row r="70" spans="2:25" ht="14.5" hidden="1">
      <c r="B70" s="11">
        <v>68</v>
      </c>
      <c r="C70" s="17" t="s">
        <v>11</v>
      </c>
      <c r="D70" s="11" t="s">
        <v>35</v>
      </c>
      <c r="E70" s="2" t="s">
        <v>202</v>
      </c>
      <c r="F70" s="13" t="s">
        <v>203</v>
      </c>
      <c r="G70" s="13" t="s">
        <v>106</v>
      </c>
      <c r="H70" s="13" t="s">
        <v>107</v>
      </c>
      <c r="I70" s="13" t="s">
        <v>108</v>
      </c>
      <c r="J70" s="13" t="s">
        <v>41</v>
      </c>
      <c r="K70" s="13" t="s">
        <v>42</v>
      </c>
      <c r="L70" s="14">
        <v>46157</v>
      </c>
      <c r="M70" s="14"/>
      <c r="N70" s="14" t="s">
        <v>43</v>
      </c>
      <c r="O70" s="13"/>
      <c r="P70" s="13" t="s">
        <v>109</v>
      </c>
      <c r="Q70" s="16" t="b">
        <v>0</v>
      </c>
      <c r="R70" s="15" t="s">
        <v>103</v>
      </c>
      <c r="S70" s="27" t="s">
        <v>92</v>
      </c>
      <c r="T70" s="27"/>
      <c r="U70" s="27" t="str">
        <f>IF(TablaSoporte[[#This Row],[Fecha requerida]]="","N",IF(TablaSoporte[[#This Row],[Fecha requerida]]&lt;=DATE(2026,4,30),"S","N"))</f>
        <v>N</v>
      </c>
      <c r="W70" s="21"/>
    </row>
    <row r="71" spans="2:25" ht="14.5" hidden="1">
      <c r="B71" s="11">
        <v>69</v>
      </c>
      <c r="C71" s="17" t="s">
        <v>11</v>
      </c>
      <c r="D71" s="11" t="s">
        <v>35</v>
      </c>
      <c r="E71" s="2" t="s">
        <v>204</v>
      </c>
      <c r="F71" s="13" t="s">
        <v>205</v>
      </c>
      <c r="G71" s="13" t="s">
        <v>106</v>
      </c>
      <c r="H71" s="13" t="s">
        <v>107</v>
      </c>
      <c r="I71" s="13" t="s">
        <v>108</v>
      </c>
      <c r="J71" s="13" t="s">
        <v>41</v>
      </c>
      <c r="K71" s="13" t="s">
        <v>42</v>
      </c>
      <c r="L71" s="14">
        <v>46157</v>
      </c>
      <c r="M71" s="14"/>
      <c r="N71" s="14" t="s">
        <v>43</v>
      </c>
      <c r="O71" s="13"/>
      <c r="P71" s="13" t="s">
        <v>109</v>
      </c>
      <c r="Q71" s="16" t="b">
        <v>0</v>
      </c>
      <c r="R71" s="15" t="s">
        <v>103</v>
      </c>
      <c r="S71" s="27" t="s">
        <v>92</v>
      </c>
      <c r="T71" s="27"/>
      <c r="U71" s="27" t="str">
        <f>IF(TablaSoporte[[#This Row],[Fecha requerida]]="","N",IF(TablaSoporte[[#This Row],[Fecha requerida]]&lt;=DATE(2026,4,30),"S","N"))</f>
        <v>N</v>
      </c>
      <c r="W71" s="21"/>
    </row>
    <row r="72" spans="2:25" ht="14.5" hidden="1">
      <c r="B72" s="11">
        <v>70</v>
      </c>
      <c r="C72" s="17" t="s">
        <v>11</v>
      </c>
      <c r="D72" s="11" t="s">
        <v>35</v>
      </c>
      <c r="E72" s="2" t="s">
        <v>206</v>
      </c>
      <c r="F72" s="13" t="s">
        <v>207</v>
      </c>
      <c r="G72" s="13" t="s">
        <v>106</v>
      </c>
      <c r="H72" s="13" t="s">
        <v>107</v>
      </c>
      <c r="I72" s="13" t="s">
        <v>108</v>
      </c>
      <c r="J72" s="13" t="s">
        <v>41</v>
      </c>
      <c r="K72" s="13" t="s">
        <v>42</v>
      </c>
      <c r="L72" s="14">
        <v>46157</v>
      </c>
      <c r="M72" s="14"/>
      <c r="N72" s="14" t="s">
        <v>43</v>
      </c>
      <c r="O72" s="13"/>
      <c r="P72" s="13" t="s">
        <v>109</v>
      </c>
      <c r="Q72" s="16" t="b">
        <v>0</v>
      </c>
      <c r="R72" s="15" t="s">
        <v>103</v>
      </c>
      <c r="S72" s="27" t="s">
        <v>92</v>
      </c>
      <c r="T72" s="27"/>
      <c r="U72" s="27" t="str">
        <f>IF(TablaSoporte[[#This Row],[Fecha requerida]]="","N",IF(TablaSoporte[[#This Row],[Fecha requerida]]&lt;=DATE(2026,4,30),"S","N"))</f>
        <v>N</v>
      </c>
      <c r="W72" s="21"/>
    </row>
    <row r="73" spans="2:25" ht="14.5" hidden="1">
      <c r="B73" s="11">
        <v>71</v>
      </c>
      <c r="C73" s="17" t="s">
        <v>11</v>
      </c>
      <c r="D73" s="11" t="s">
        <v>35</v>
      </c>
      <c r="E73" s="2" t="s">
        <v>208</v>
      </c>
      <c r="F73" s="13" t="s">
        <v>209</v>
      </c>
      <c r="G73" s="13" t="s">
        <v>106</v>
      </c>
      <c r="H73" s="13" t="s">
        <v>107</v>
      </c>
      <c r="I73" s="13" t="s">
        <v>108</v>
      </c>
      <c r="J73" s="13" t="s">
        <v>41</v>
      </c>
      <c r="K73" s="13" t="s">
        <v>42</v>
      </c>
      <c r="L73" s="14">
        <v>46157</v>
      </c>
      <c r="M73" s="14"/>
      <c r="N73" s="14" t="s">
        <v>43</v>
      </c>
      <c r="O73" s="13"/>
      <c r="P73" s="13" t="s">
        <v>109</v>
      </c>
      <c r="Q73" s="16" t="b">
        <v>0</v>
      </c>
      <c r="R73" s="15" t="s">
        <v>103</v>
      </c>
      <c r="S73" s="27" t="s">
        <v>92</v>
      </c>
      <c r="T73" s="27"/>
      <c r="U73" s="27" t="str">
        <f>IF(TablaSoporte[[#This Row],[Fecha requerida]]="","N",IF(TablaSoporte[[#This Row],[Fecha requerida]]&lt;=DATE(2026,4,30),"S","N"))</f>
        <v>N</v>
      </c>
      <c r="W73" s="21"/>
    </row>
    <row r="74" spans="2:25" ht="14.5" hidden="1">
      <c r="B74" s="11">
        <v>72</v>
      </c>
      <c r="C74" s="17" t="s">
        <v>11</v>
      </c>
      <c r="D74" s="11" t="s">
        <v>35</v>
      </c>
      <c r="E74" s="2" t="s">
        <v>210</v>
      </c>
      <c r="F74" s="13" t="s">
        <v>211</v>
      </c>
      <c r="G74" s="13" t="s">
        <v>106</v>
      </c>
      <c r="H74" s="13" t="s">
        <v>107</v>
      </c>
      <c r="I74" s="13" t="s">
        <v>108</v>
      </c>
      <c r="J74" s="13" t="s">
        <v>41</v>
      </c>
      <c r="K74" s="13" t="s">
        <v>42</v>
      </c>
      <c r="L74" s="14">
        <v>46157</v>
      </c>
      <c r="M74" s="14"/>
      <c r="N74" s="14" t="s">
        <v>43</v>
      </c>
      <c r="O74" s="13"/>
      <c r="P74" s="13" t="s">
        <v>109</v>
      </c>
      <c r="Q74" s="16" t="b">
        <v>0</v>
      </c>
      <c r="R74" s="15" t="s">
        <v>103</v>
      </c>
      <c r="S74" s="27" t="s">
        <v>92</v>
      </c>
      <c r="T74" s="27"/>
      <c r="U74" s="27" t="str">
        <f>IF(TablaSoporte[[#This Row],[Fecha requerida]]="","N",IF(TablaSoporte[[#This Row],[Fecha requerida]]&lt;=DATE(2026,4,30),"S","N"))</f>
        <v>N</v>
      </c>
      <c r="W74" s="21"/>
    </row>
    <row r="75" spans="2:25" ht="14.5" hidden="1">
      <c r="B75" s="11">
        <v>73</v>
      </c>
      <c r="C75" s="17" t="s">
        <v>11</v>
      </c>
      <c r="D75" s="11" t="s">
        <v>35</v>
      </c>
      <c r="E75" s="2" t="s">
        <v>212</v>
      </c>
      <c r="F75" s="13" t="s">
        <v>213</v>
      </c>
      <c r="G75" s="13" t="s">
        <v>106</v>
      </c>
      <c r="H75" s="13" t="s">
        <v>107</v>
      </c>
      <c r="I75" s="13" t="s">
        <v>108</v>
      </c>
      <c r="J75" s="13" t="s">
        <v>41</v>
      </c>
      <c r="K75" s="13" t="s">
        <v>42</v>
      </c>
      <c r="L75" s="14">
        <v>46157</v>
      </c>
      <c r="M75" s="14"/>
      <c r="N75" s="14" t="s">
        <v>43</v>
      </c>
      <c r="O75" s="13"/>
      <c r="P75" s="13" t="s">
        <v>109</v>
      </c>
      <c r="Q75" s="16" t="b">
        <v>0</v>
      </c>
      <c r="R75" s="15" t="s">
        <v>103</v>
      </c>
      <c r="S75" s="27" t="s">
        <v>92</v>
      </c>
      <c r="T75" s="27"/>
      <c r="U75" s="27" t="str">
        <f>IF(TablaSoporte[[#This Row],[Fecha requerida]]="","N",IF(TablaSoporte[[#This Row],[Fecha requerida]]&lt;=DATE(2026,4,30),"S","N"))</f>
        <v>N</v>
      </c>
      <c r="W75" s="21"/>
    </row>
    <row r="76" spans="2:25" ht="14.5" hidden="1">
      <c r="B76" s="11">
        <v>74</v>
      </c>
      <c r="C76" s="17" t="s">
        <v>11</v>
      </c>
      <c r="D76" s="11" t="s">
        <v>35</v>
      </c>
      <c r="E76" s="2" t="s">
        <v>214</v>
      </c>
      <c r="F76" s="13" t="s">
        <v>215</v>
      </c>
      <c r="G76" s="13" t="s">
        <v>106</v>
      </c>
      <c r="H76" s="13" t="s">
        <v>107</v>
      </c>
      <c r="I76" s="13" t="s">
        <v>108</v>
      </c>
      <c r="J76" s="13" t="s">
        <v>41</v>
      </c>
      <c r="K76" s="13" t="s">
        <v>42</v>
      </c>
      <c r="L76" s="14">
        <v>46157</v>
      </c>
      <c r="M76" s="14"/>
      <c r="N76" s="14" t="s">
        <v>43</v>
      </c>
      <c r="O76" s="13"/>
      <c r="P76" s="13" t="s">
        <v>109</v>
      </c>
      <c r="Q76" s="16" t="b">
        <v>0</v>
      </c>
      <c r="R76" s="15" t="s">
        <v>103</v>
      </c>
      <c r="S76" s="27" t="s">
        <v>92</v>
      </c>
      <c r="T76" s="27"/>
      <c r="U76" s="27" t="str">
        <f>IF(TablaSoporte[[#This Row],[Fecha requerida]]="","N",IF(TablaSoporte[[#This Row],[Fecha requerida]]&lt;=DATE(2026,4,30),"S","N"))</f>
        <v>N</v>
      </c>
      <c r="W76" s="21"/>
    </row>
    <row r="77" spans="2:25" ht="14.5" hidden="1">
      <c r="B77" s="11">
        <v>75</v>
      </c>
      <c r="C77" s="17" t="s">
        <v>11</v>
      </c>
      <c r="D77" s="11" t="s">
        <v>35</v>
      </c>
      <c r="E77" s="2" t="s">
        <v>216</v>
      </c>
      <c r="F77" s="13" t="s">
        <v>217</v>
      </c>
      <c r="G77" s="13" t="s">
        <v>106</v>
      </c>
      <c r="H77" s="13" t="s">
        <v>107</v>
      </c>
      <c r="I77" s="13" t="s">
        <v>108</v>
      </c>
      <c r="J77" s="13" t="s">
        <v>41</v>
      </c>
      <c r="K77" s="13" t="s">
        <v>42</v>
      </c>
      <c r="L77" s="14">
        <v>46157</v>
      </c>
      <c r="M77" s="14"/>
      <c r="N77" s="14" t="s">
        <v>43</v>
      </c>
      <c r="O77" s="13"/>
      <c r="P77" s="13" t="s">
        <v>109</v>
      </c>
      <c r="Q77" s="16" t="b">
        <v>0</v>
      </c>
      <c r="R77" s="15" t="s">
        <v>103</v>
      </c>
      <c r="S77" s="27" t="s">
        <v>92</v>
      </c>
      <c r="T77" s="27"/>
      <c r="U77" s="27" t="str">
        <f>IF(TablaSoporte[[#This Row],[Fecha requerida]]="","N",IF(TablaSoporte[[#This Row],[Fecha requerida]]&lt;=DATE(2026,4,30),"S","N"))</f>
        <v>N</v>
      </c>
      <c r="W77" s="21"/>
    </row>
    <row r="78" spans="2:25" ht="14.5" hidden="1">
      <c r="B78" s="11">
        <v>76</v>
      </c>
      <c r="C78" s="17" t="s">
        <v>11</v>
      </c>
      <c r="D78" s="11" t="s">
        <v>35</v>
      </c>
      <c r="E78" s="2" t="s">
        <v>218</v>
      </c>
      <c r="F78" s="13" t="s">
        <v>219</v>
      </c>
      <c r="G78" s="13" t="s">
        <v>106</v>
      </c>
      <c r="H78" s="13" t="s">
        <v>107</v>
      </c>
      <c r="I78" s="13" t="s">
        <v>108</v>
      </c>
      <c r="J78" s="13" t="s">
        <v>41</v>
      </c>
      <c r="K78" s="13" t="s">
        <v>42</v>
      </c>
      <c r="L78" s="14">
        <v>46157</v>
      </c>
      <c r="M78" s="14"/>
      <c r="N78" s="14" t="s">
        <v>43</v>
      </c>
      <c r="O78" s="13"/>
      <c r="P78" s="13" t="s">
        <v>109</v>
      </c>
      <c r="Q78" s="16" t="b">
        <v>0</v>
      </c>
      <c r="R78" s="15" t="s">
        <v>103</v>
      </c>
      <c r="S78" s="27" t="s">
        <v>92</v>
      </c>
      <c r="T78" s="27"/>
      <c r="U78" s="27" t="str">
        <f>IF(TablaSoporte[[#This Row],[Fecha requerida]]="","N",IF(TablaSoporte[[#This Row],[Fecha requerida]]&lt;=DATE(2026,4,30),"S","N"))</f>
        <v>N</v>
      </c>
      <c r="W78" s="21"/>
    </row>
    <row r="79" spans="2:25" ht="14.5" hidden="1">
      <c r="B79" s="11">
        <v>77</v>
      </c>
      <c r="C79" s="17" t="s">
        <v>11</v>
      </c>
      <c r="D79" s="11" t="s">
        <v>35</v>
      </c>
      <c r="E79" s="2" t="s">
        <v>220</v>
      </c>
      <c r="F79" s="13" t="s">
        <v>221</v>
      </c>
      <c r="G79" s="13" t="s">
        <v>106</v>
      </c>
      <c r="H79" s="13" t="s">
        <v>107</v>
      </c>
      <c r="I79" s="13" t="s">
        <v>108</v>
      </c>
      <c r="J79" s="13" t="s">
        <v>41</v>
      </c>
      <c r="K79" s="13" t="s">
        <v>42</v>
      </c>
      <c r="L79" s="14">
        <v>46157</v>
      </c>
      <c r="M79" s="14"/>
      <c r="N79" s="14" t="s">
        <v>43</v>
      </c>
      <c r="O79" s="13"/>
      <c r="P79" s="13" t="s">
        <v>109</v>
      </c>
      <c r="Q79" s="16" t="b">
        <v>0</v>
      </c>
      <c r="R79" s="15" t="s">
        <v>103</v>
      </c>
      <c r="S79" s="27" t="s">
        <v>92</v>
      </c>
      <c r="T79" s="27"/>
      <c r="U79" s="27" t="str">
        <f>IF(TablaSoporte[[#This Row],[Fecha requerida]]="","N",IF(TablaSoporte[[#This Row],[Fecha requerida]]&lt;=DATE(2026,4,30),"S","N"))</f>
        <v>N</v>
      </c>
      <c r="W79" s="21"/>
    </row>
    <row r="80" spans="2:25" ht="14.5" hidden="1">
      <c r="B80" s="11">
        <v>78</v>
      </c>
      <c r="C80" s="17" t="s">
        <v>11</v>
      </c>
      <c r="D80" s="11" t="s">
        <v>35</v>
      </c>
      <c r="E80" s="2" t="s">
        <v>222</v>
      </c>
      <c r="F80" s="13" t="s">
        <v>223</v>
      </c>
      <c r="G80" s="13" t="s">
        <v>106</v>
      </c>
      <c r="H80" s="13" t="s">
        <v>107</v>
      </c>
      <c r="I80" s="13" t="s">
        <v>108</v>
      </c>
      <c r="J80" s="13" t="s">
        <v>41</v>
      </c>
      <c r="K80" s="13" t="s">
        <v>42</v>
      </c>
      <c r="L80" s="14">
        <v>46157</v>
      </c>
      <c r="M80" s="14"/>
      <c r="N80" s="14" t="s">
        <v>43</v>
      </c>
      <c r="O80" s="13"/>
      <c r="P80" s="13" t="s">
        <v>109</v>
      </c>
      <c r="Q80" s="16" t="b">
        <v>0</v>
      </c>
      <c r="R80" s="15" t="s">
        <v>103</v>
      </c>
      <c r="S80" s="27" t="s">
        <v>92</v>
      </c>
      <c r="T80" s="27"/>
      <c r="U80" s="27" t="str">
        <f>IF(TablaSoporte[[#This Row],[Fecha requerida]]="","N",IF(TablaSoporte[[#This Row],[Fecha requerida]]&lt;=DATE(2026,4,30),"S","N"))</f>
        <v>N</v>
      </c>
      <c r="W80" s="21"/>
    </row>
    <row r="81" spans="2:23" ht="14.5" hidden="1">
      <c r="B81" s="11">
        <v>79</v>
      </c>
      <c r="C81" s="17" t="s">
        <v>11</v>
      </c>
      <c r="D81" s="11" t="s">
        <v>35</v>
      </c>
      <c r="E81" s="2" t="s">
        <v>224</v>
      </c>
      <c r="F81" s="13" t="s">
        <v>225</v>
      </c>
      <c r="G81" s="13" t="s">
        <v>106</v>
      </c>
      <c r="H81" s="13" t="s">
        <v>107</v>
      </c>
      <c r="I81" s="13" t="s">
        <v>108</v>
      </c>
      <c r="J81" s="13" t="s">
        <v>41</v>
      </c>
      <c r="K81" s="13" t="s">
        <v>42</v>
      </c>
      <c r="L81" s="14">
        <v>46157</v>
      </c>
      <c r="M81" s="14"/>
      <c r="N81" s="14" t="s">
        <v>43</v>
      </c>
      <c r="O81" s="13"/>
      <c r="P81" s="13" t="s">
        <v>109</v>
      </c>
      <c r="Q81" s="16" t="b">
        <v>0</v>
      </c>
      <c r="R81" s="15" t="s">
        <v>103</v>
      </c>
      <c r="S81" s="27" t="s">
        <v>92</v>
      </c>
      <c r="T81" s="27"/>
      <c r="U81" s="27" t="str">
        <f>IF(TablaSoporte[[#This Row],[Fecha requerida]]="","N",IF(TablaSoporte[[#This Row],[Fecha requerida]]&lt;=DATE(2026,4,30),"S","N"))</f>
        <v>N</v>
      </c>
      <c r="W81" s="21"/>
    </row>
    <row r="82" spans="2:23" ht="14.5" hidden="1">
      <c r="B82" s="11">
        <v>80</v>
      </c>
      <c r="C82" s="17" t="s">
        <v>11</v>
      </c>
      <c r="D82" s="11" t="s">
        <v>35</v>
      </c>
      <c r="E82" s="2" t="s">
        <v>226</v>
      </c>
      <c r="F82" s="13" t="s">
        <v>227</v>
      </c>
      <c r="G82" s="13" t="s">
        <v>106</v>
      </c>
      <c r="H82" s="13" t="s">
        <v>107</v>
      </c>
      <c r="I82" s="13" t="s">
        <v>108</v>
      </c>
      <c r="J82" s="13" t="s">
        <v>41</v>
      </c>
      <c r="K82" s="13" t="s">
        <v>42</v>
      </c>
      <c r="L82" s="14">
        <v>46157</v>
      </c>
      <c r="M82" s="14"/>
      <c r="N82" s="14" t="s">
        <v>43</v>
      </c>
      <c r="O82" s="13"/>
      <c r="P82" s="13" t="s">
        <v>109</v>
      </c>
      <c r="Q82" s="16" t="b">
        <v>0</v>
      </c>
      <c r="R82" s="15" t="s">
        <v>103</v>
      </c>
      <c r="S82" s="27" t="s">
        <v>92</v>
      </c>
      <c r="T82" s="27"/>
      <c r="U82" s="27" t="str">
        <f>IF(TablaSoporte[[#This Row],[Fecha requerida]]="","N",IF(TablaSoporte[[#This Row],[Fecha requerida]]&lt;=DATE(2026,4,30),"S","N"))</f>
        <v>N</v>
      </c>
      <c r="W82" s="21"/>
    </row>
    <row r="83" spans="2:23" ht="14.5" hidden="1">
      <c r="B83" s="11">
        <v>81</v>
      </c>
      <c r="C83" s="17" t="s">
        <v>11</v>
      </c>
      <c r="D83" s="11" t="s">
        <v>35</v>
      </c>
      <c r="E83" s="2" t="s">
        <v>228</v>
      </c>
      <c r="F83" s="13" t="s">
        <v>229</v>
      </c>
      <c r="G83" s="13" t="s">
        <v>106</v>
      </c>
      <c r="H83" s="13" t="s">
        <v>107</v>
      </c>
      <c r="I83" s="13" t="s">
        <v>108</v>
      </c>
      <c r="J83" s="13" t="s">
        <v>41</v>
      </c>
      <c r="K83" s="13" t="s">
        <v>42</v>
      </c>
      <c r="L83" s="14">
        <v>46157</v>
      </c>
      <c r="M83" s="14"/>
      <c r="N83" s="14" t="s">
        <v>43</v>
      </c>
      <c r="O83" s="13"/>
      <c r="P83" s="13" t="s">
        <v>109</v>
      </c>
      <c r="Q83" s="16" t="b">
        <v>0</v>
      </c>
      <c r="R83" s="15" t="s">
        <v>103</v>
      </c>
      <c r="S83" s="27" t="s">
        <v>92</v>
      </c>
      <c r="T83" s="27"/>
      <c r="U83" s="27" t="str">
        <f>IF(TablaSoporte[[#This Row],[Fecha requerida]]="","N",IF(TablaSoporte[[#This Row],[Fecha requerida]]&lt;=DATE(2026,4,30),"S","N"))</f>
        <v>N</v>
      </c>
      <c r="W83" s="21"/>
    </row>
    <row r="84" spans="2:23" ht="14.5" hidden="1">
      <c r="B84" s="11">
        <v>82</v>
      </c>
      <c r="C84" s="17" t="s">
        <v>11</v>
      </c>
      <c r="D84" s="11" t="s">
        <v>35</v>
      </c>
      <c r="E84" s="2" t="s">
        <v>230</v>
      </c>
      <c r="F84" s="13" t="s">
        <v>231</v>
      </c>
      <c r="G84" s="13" t="s">
        <v>10</v>
      </c>
      <c r="H84" s="13" t="s">
        <v>232</v>
      </c>
      <c r="I84" s="13"/>
      <c r="J84" s="13" t="s">
        <v>41</v>
      </c>
      <c r="K84" s="13" t="s">
        <v>42</v>
      </c>
      <c r="L84" s="14">
        <v>46157</v>
      </c>
      <c r="M84" s="14"/>
      <c r="N84" s="14"/>
      <c r="O84" s="13"/>
      <c r="P84" s="13" t="s">
        <v>102</v>
      </c>
      <c r="Q84" s="16" t="b">
        <v>0</v>
      </c>
      <c r="R84" s="15" t="s">
        <v>91</v>
      </c>
      <c r="S84" s="27" t="s">
        <v>92</v>
      </c>
      <c r="T84" s="14" t="s">
        <v>233</v>
      </c>
      <c r="U84" s="27" t="str">
        <f>IF(TablaSoporte[[#This Row],[Fecha requerida]]="","N",IF(TablaSoporte[[#This Row],[Fecha requerida]]&lt;=DATE(2026,4,30),"S","N"))</f>
        <v>N</v>
      </c>
      <c r="W84" s="21" t="s">
        <v>45</v>
      </c>
    </row>
    <row r="85" spans="2:23" ht="14.5">
      <c r="B85" s="11">
        <v>83</v>
      </c>
      <c r="C85" s="17" t="s">
        <v>11</v>
      </c>
      <c r="D85" s="11" t="s">
        <v>35</v>
      </c>
      <c r="E85" s="2" t="s">
        <v>234</v>
      </c>
      <c r="F85" s="13" t="s">
        <v>235</v>
      </c>
      <c r="G85" s="13" t="s">
        <v>236</v>
      </c>
      <c r="H85" s="13" t="s">
        <v>95</v>
      </c>
      <c r="I85" s="13" t="s">
        <v>237</v>
      </c>
      <c r="J85" s="36" t="s">
        <v>41</v>
      </c>
      <c r="K85" s="13" t="s">
        <v>238</v>
      </c>
      <c r="L85" s="14">
        <v>46127</v>
      </c>
      <c r="M85" s="14"/>
      <c r="N85" s="14" t="s">
        <v>43</v>
      </c>
      <c r="O85" s="13"/>
      <c r="P85" s="13" t="s">
        <v>102</v>
      </c>
      <c r="Q85" s="16" t="b">
        <v>1</v>
      </c>
      <c r="R85" s="15" t="s">
        <v>91</v>
      </c>
      <c r="S85" s="27" t="s">
        <v>92</v>
      </c>
      <c r="T85" s="27"/>
      <c r="U85" s="27" t="str">
        <f>IF(TablaSoporte[[#This Row],[Fecha requerida]]="","N",IF(TablaSoporte[[#This Row],[Fecha requerida]]&lt;=DATE(2026,4,30),"S","N"))</f>
        <v>S</v>
      </c>
      <c r="W85" s="21" t="s">
        <v>45</v>
      </c>
    </row>
    <row r="86" spans="2:23" ht="14.5" hidden="1">
      <c r="B86" s="11"/>
      <c r="C86" s="17"/>
      <c r="D86" s="11"/>
      <c r="E86" s="2"/>
      <c r="F86" s="13"/>
      <c r="G86" s="13"/>
      <c r="H86" s="13"/>
      <c r="I86" s="13"/>
      <c r="J86" s="13"/>
      <c r="K86" s="13"/>
      <c r="L86" s="13"/>
      <c r="M86" s="14"/>
      <c r="N86" s="14"/>
      <c r="O86" s="13"/>
      <c r="P86" s="13"/>
      <c r="Q86" s="28"/>
      <c r="R86" s="15"/>
      <c r="S86" s="27"/>
      <c r="T86" s="27"/>
      <c r="U86" s="27"/>
      <c r="W86" s="21"/>
    </row>
    <row r="87" spans="2:23" ht="14.5" hidden="1">
      <c r="B87" s="11"/>
      <c r="C87" s="17"/>
      <c r="D87" s="11"/>
      <c r="E87" s="2"/>
      <c r="F87" s="13"/>
      <c r="G87" s="13"/>
      <c r="H87" s="13"/>
      <c r="I87" s="13"/>
      <c r="J87" s="13"/>
      <c r="K87" s="13"/>
      <c r="L87" s="13"/>
      <c r="M87" s="14"/>
      <c r="N87" s="14"/>
      <c r="O87" s="13"/>
      <c r="P87" s="13"/>
      <c r="Q87" s="28"/>
      <c r="R87" s="15"/>
      <c r="S87" s="27"/>
      <c r="T87" s="27"/>
      <c r="U87" s="27"/>
      <c r="W87" s="21"/>
    </row>
    <row r="88" spans="2:23" ht="14.5" hidden="1">
      <c r="B88" s="11"/>
      <c r="C88" s="17"/>
      <c r="D88" s="11"/>
      <c r="E88" s="2"/>
      <c r="F88" s="13"/>
      <c r="G88" s="13"/>
      <c r="H88" s="13"/>
      <c r="I88" s="13"/>
      <c r="J88" s="13"/>
      <c r="K88" s="13"/>
      <c r="L88" s="13"/>
      <c r="M88" s="14"/>
      <c r="N88" s="14"/>
      <c r="O88" s="13"/>
      <c r="P88" s="13"/>
      <c r="Q88" s="28"/>
      <c r="R88" s="15"/>
      <c r="S88" s="27"/>
      <c r="T88" s="27"/>
      <c r="U88" s="27"/>
      <c r="W88" s="21"/>
    </row>
    <row r="89" spans="2:23" ht="14.5" hidden="1">
      <c r="B89" s="12"/>
      <c r="C89" s="119"/>
      <c r="D89" s="11"/>
      <c r="E89" s="2"/>
      <c r="F89" s="13"/>
      <c r="G89" s="13"/>
      <c r="H89" s="13"/>
      <c r="I89" s="13"/>
      <c r="J89" s="13"/>
      <c r="K89" s="13"/>
      <c r="L89" s="13"/>
      <c r="M89" s="14"/>
      <c r="N89" s="14"/>
      <c r="O89" s="13"/>
      <c r="P89" s="13"/>
      <c r="Q89" s="28"/>
      <c r="R89" s="15"/>
      <c r="S89" s="27"/>
      <c r="T89" s="27"/>
      <c r="U89" s="27"/>
      <c r="W89" s="62"/>
    </row>
    <row r="90" spans="2:23" ht="15" customHeight="1">
      <c r="F90"/>
      <c r="G90"/>
    </row>
    <row r="91" spans="2:23" ht="15" customHeight="1">
      <c r="F91"/>
      <c r="G91"/>
      <c r="H91"/>
    </row>
    <row r="92" spans="2:23" ht="15" customHeight="1">
      <c r="F92"/>
      <c r="G92"/>
      <c r="H92"/>
    </row>
    <row r="93" spans="2:23" ht="15" customHeight="1">
      <c r="F93"/>
      <c r="G93"/>
      <c r="H93"/>
    </row>
    <row r="94" spans="2:23" ht="15" customHeight="1">
      <c r="F94"/>
      <c r="G94"/>
      <c r="H94"/>
    </row>
    <row r="95" spans="2:23" ht="15" customHeight="1">
      <c r="F95"/>
      <c r="G95"/>
      <c r="H95"/>
    </row>
    <row r="96" spans="2:23" ht="15" customHeight="1">
      <c r="F96"/>
      <c r="G96"/>
      <c r="H96"/>
    </row>
    <row r="97" spans="6:8" ht="15" customHeight="1">
      <c r="F97"/>
      <c r="G97"/>
      <c r="H97"/>
    </row>
    <row r="98" spans="6:8" ht="15" customHeight="1">
      <c r="F98"/>
      <c r="G98"/>
      <c r="H98"/>
    </row>
    <row r="99" spans="6:8" ht="15" customHeight="1">
      <c r="F99"/>
      <c r="G99"/>
      <c r="H99"/>
    </row>
    <row r="100" spans="6:8" ht="15" customHeight="1">
      <c r="F100"/>
      <c r="G100"/>
      <c r="H100"/>
    </row>
  </sheetData>
  <dataValidations count="1">
    <dataValidation type="date" allowBlank="1" showInputMessage="1" showErrorMessage="1" sqref="M1:N1048576" xr:uid="{3469E1BA-652E-4CD7-BAE8-2750C5358DF1}">
      <formula1>46023</formula1>
      <formula2>46387</formula2>
    </dataValidation>
  </dataValidations>
  <pageMargins left="0.7" right="0.7" top="0.75" bottom="0.75" header="0.3" footer="0.3"/>
  <legacyDrawing r:id="rId1"/>
  <tableParts count="1">
    <tablePart r:id="rId2"/>
  </tableParts>
  <extLst>
    <ext xmlns:x14="http://schemas.microsoft.com/office/spreadsheetml/2009/9/main" uri="{CCE6A557-97BC-4b89-ADB6-D9C93CAAB3DF}">
      <x14:dataValidations xmlns:xm="http://schemas.microsoft.com/office/excel/2006/main" count="4">
        <x14:dataValidation type="list" allowBlank="1" showInputMessage="1" showErrorMessage="1" xr:uid="{B6063435-5CEE-4AE8-938F-E19773FA5689}">
          <x14:formula1>
            <xm:f>Catálogo!$C$3:$C$5</xm:f>
          </x14:formula1>
          <xm:sqref>L66:L89 K4:K89 L5:L63</xm:sqref>
        </x14:dataValidation>
        <x14:dataValidation type="list" allowBlank="1" showInputMessage="1" showErrorMessage="1" xr:uid="{7F466805-9827-42A9-BC22-9F43F349D06A}">
          <x14:formula1>
            <xm:f>Catálogo!$D$3:$D$6</xm:f>
          </x14:formula1>
          <xm:sqref>W4:W89</xm:sqref>
        </x14:dataValidation>
        <x14:dataValidation type="list" allowBlank="1" showInputMessage="1" showErrorMessage="1" xr:uid="{7CB41B53-48E0-4571-ADDD-1A460E2742D5}">
          <x14:formula1>
            <xm:f>Catálogo!$B$3:$B$8</xm:f>
          </x14:formula1>
          <xm:sqref>J4:J89</xm:sqref>
        </x14:dataValidation>
        <x14:dataValidation type="list" allowBlank="1" showInputMessage="1" showErrorMessage="1" xr:uid="{7F69FDF3-5C87-4803-A8CB-EC0BC6F6A6D3}">
          <x14:formula1>
            <xm:f>Parametros!$B$2:$B$6</xm:f>
          </x14:formula1>
          <xm:sqref>R1:R1048576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968A5-7924-4E1E-A201-2B71E7A2ADBC}">
  <dimension ref="B1:U27"/>
  <sheetViews>
    <sheetView showGridLines="0" zoomScale="90" zoomScaleNormal="90" workbookViewId="0">
      <pane xSplit="6" ySplit="4" topLeftCell="G21" activePane="bottomRight" state="frozen"/>
      <selection pane="topRight" activeCell="G1" sqref="G1"/>
      <selection pane="bottomLeft" activeCell="A4" sqref="A4"/>
      <selection pane="bottomRight" activeCell="H22" sqref="H22"/>
    </sheetView>
  </sheetViews>
  <sheetFormatPr baseColWidth="10" defaultColWidth="11.453125" defaultRowHeight="15" customHeight="1"/>
  <cols>
    <col min="1" max="1" width="1.453125" customWidth="1"/>
    <col min="2" max="2" width="7.81640625" customWidth="1"/>
    <col min="3" max="3" width="16" customWidth="1"/>
    <col min="4" max="4" width="8.81640625" customWidth="1"/>
    <col min="5" max="5" width="7.54296875" customWidth="1"/>
    <col min="6" max="6" width="17.453125" style="1" customWidth="1"/>
    <col min="7" max="7" width="14.1796875" style="1" customWidth="1"/>
    <col min="8" max="8" width="44.81640625" style="1" customWidth="1"/>
    <col min="9" max="9" width="39.26953125" style="1" customWidth="1"/>
    <col min="10" max="10" width="17.453125" style="1" hidden="1" customWidth="1"/>
    <col min="11" max="11" width="12.453125" style="1" hidden="1" customWidth="1"/>
    <col min="12" max="12" width="13" style="1" customWidth="1"/>
    <col min="13" max="13" width="7.81640625" style="1" customWidth="1"/>
    <col min="14" max="14" width="12" style="8" customWidth="1"/>
    <col min="15" max="15" width="11" style="1" customWidth="1"/>
    <col min="16" max="16" width="10.26953125" style="1" customWidth="1"/>
    <col min="17" max="17" width="14.1796875" customWidth="1"/>
    <col min="18" max="18" width="20.54296875" style="6" customWidth="1"/>
    <col min="20" max="20" width="17.54296875" customWidth="1"/>
  </cols>
  <sheetData>
    <row r="1" spans="2:21" ht="9" customHeight="1"/>
    <row r="2" spans="2:21" s="3" customFormat="1" ht="24">
      <c r="B2" s="10" t="s">
        <v>239</v>
      </c>
      <c r="C2" s="10" t="s">
        <v>0</v>
      </c>
      <c r="D2" s="10" t="s">
        <v>20</v>
      </c>
      <c r="E2" s="3" t="s">
        <v>81</v>
      </c>
      <c r="F2" s="4" t="s">
        <v>22</v>
      </c>
      <c r="G2" s="4" t="s">
        <v>23</v>
      </c>
      <c r="H2" s="4" t="s">
        <v>24</v>
      </c>
      <c r="I2" s="4" t="s">
        <v>25</v>
      </c>
      <c r="J2" s="5" t="s">
        <v>26</v>
      </c>
      <c r="K2" s="5" t="s">
        <v>27</v>
      </c>
      <c r="L2" s="5" t="s">
        <v>28</v>
      </c>
      <c r="M2" s="5" t="s">
        <v>82</v>
      </c>
      <c r="N2" s="9" t="s">
        <v>29</v>
      </c>
      <c r="O2" s="7" t="s">
        <v>30</v>
      </c>
      <c r="P2" s="4" t="s">
        <v>31</v>
      </c>
      <c r="Q2" s="3" t="s">
        <v>32</v>
      </c>
      <c r="R2" s="4" t="s">
        <v>33</v>
      </c>
      <c r="S2" s="3" t="s">
        <v>34</v>
      </c>
      <c r="T2" s="3" t="s">
        <v>83</v>
      </c>
      <c r="U2" s="3" t="s">
        <v>84</v>
      </c>
    </row>
    <row r="3" spans="2:21" ht="14.5" hidden="1">
      <c r="B3" s="18">
        <v>1</v>
      </c>
      <c r="C3" s="18" t="s">
        <v>8</v>
      </c>
      <c r="D3" s="11" t="s">
        <v>35</v>
      </c>
      <c r="E3" s="2" t="s">
        <v>240</v>
      </c>
      <c r="F3" s="13" t="s">
        <v>162</v>
      </c>
      <c r="G3" s="13" t="s">
        <v>241</v>
      </c>
      <c r="H3" s="13" t="s">
        <v>242</v>
      </c>
      <c r="I3" s="13" t="s">
        <v>243</v>
      </c>
      <c r="J3" s="13" t="s">
        <v>41</v>
      </c>
      <c r="K3" s="13" t="s">
        <v>42</v>
      </c>
      <c r="L3" s="178">
        <v>46142</v>
      </c>
      <c r="M3" s="178"/>
      <c r="N3" s="178" t="s">
        <v>43</v>
      </c>
      <c r="O3" s="13"/>
      <c r="P3" s="13" t="s">
        <v>244</v>
      </c>
      <c r="Q3" s="16" t="b">
        <v>1</v>
      </c>
      <c r="R3" s="15" t="s">
        <v>179</v>
      </c>
      <c r="S3" s="27" t="s">
        <v>245</v>
      </c>
      <c r="T3" s="27"/>
      <c r="U3" s="27" t="str">
        <f>IF(TablaCards[[#This Row],[Fecha requerida]]="","N",IF(TablaCards[[#This Row],[Fecha requerida]]&lt;=DATE(2026,4,30),"S","N"))</f>
        <v>S</v>
      </c>
    </row>
    <row r="4" spans="2:21" ht="14.5" hidden="1">
      <c r="B4" s="18">
        <v>2</v>
      </c>
      <c r="C4" s="18" t="s">
        <v>8</v>
      </c>
      <c r="D4" s="11" t="s">
        <v>35</v>
      </c>
      <c r="E4" s="2" t="s">
        <v>240</v>
      </c>
      <c r="F4" s="13" t="s">
        <v>162</v>
      </c>
      <c r="G4" s="13" t="s">
        <v>241</v>
      </c>
      <c r="H4" s="13" t="s">
        <v>242</v>
      </c>
      <c r="I4" s="13" t="s">
        <v>246</v>
      </c>
      <c r="J4" s="13" t="s">
        <v>41</v>
      </c>
      <c r="K4" s="13" t="s">
        <v>42</v>
      </c>
      <c r="L4" s="178">
        <v>46142</v>
      </c>
      <c r="M4" s="178"/>
      <c r="N4" s="178" t="s">
        <v>43</v>
      </c>
      <c r="O4" s="13"/>
      <c r="P4" s="13" t="s">
        <v>244</v>
      </c>
      <c r="Q4" s="16" t="b">
        <v>1</v>
      </c>
      <c r="R4" s="15" t="s">
        <v>179</v>
      </c>
      <c r="S4" s="27" t="s">
        <v>245</v>
      </c>
      <c r="T4" s="27"/>
      <c r="U4" s="27" t="str">
        <f>IF(TablaCards[[#This Row],[Fecha requerida]]="","N",IF(TablaCards[[#This Row],[Fecha requerida]]&lt;=DATE(2026,4,30),"S","N"))</f>
        <v>S</v>
      </c>
    </row>
    <row r="5" spans="2:21" ht="14.5" hidden="1">
      <c r="B5" s="18">
        <v>3</v>
      </c>
      <c r="C5" s="18" t="s">
        <v>8</v>
      </c>
      <c r="D5" s="11" t="s">
        <v>35</v>
      </c>
      <c r="E5" s="2" t="s">
        <v>240</v>
      </c>
      <c r="F5" s="13" t="s">
        <v>162</v>
      </c>
      <c r="G5" s="13" t="s">
        <v>241</v>
      </c>
      <c r="H5" s="13" t="s">
        <v>242</v>
      </c>
      <c r="I5" s="13" t="s">
        <v>247</v>
      </c>
      <c r="J5" s="13" t="s">
        <v>41</v>
      </c>
      <c r="K5" s="13" t="s">
        <v>42</v>
      </c>
      <c r="L5" s="178">
        <v>46149</v>
      </c>
      <c r="M5" s="178"/>
      <c r="N5" s="178" t="s">
        <v>43</v>
      </c>
      <c r="O5" s="13"/>
      <c r="P5" s="13" t="s">
        <v>244</v>
      </c>
      <c r="Q5" s="16" t="b">
        <v>0</v>
      </c>
      <c r="R5" s="15" t="s">
        <v>91</v>
      </c>
      <c r="S5" s="27" t="s">
        <v>245</v>
      </c>
      <c r="T5" s="27"/>
      <c r="U5" s="27" t="str">
        <f>IF(TablaCards[[#This Row],[Fecha requerida]]="","N",IF(TablaCards[[#This Row],[Fecha requerida]]&lt;=DATE(2026,4,30),"S","N"))</f>
        <v>N</v>
      </c>
    </row>
    <row r="6" spans="2:21" ht="14.5" hidden="1">
      <c r="B6" s="18">
        <v>4</v>
      </c>
      <c r="C6" s="18" t="s">
        <v>8</v>
      </c>
      <c r="D6" s="11" t="s">
        <v>35</v>
      </c>
      <c r="E6" s="2" t="s">
        <v>240</v>
      </c>
      <c r="F6" s="13" t="s">
        <v>162</v>
      </c>
      <c r="G6" s="13" t="s">
        <v>241</v>
      </c>
      <c r="H6" s="13" t="s">
        <v>242</v>
      </c>
      <c r="I6" s="13" t="s">
        <v>248</v>
      </c>
      <c r="J6" s="13" t="s">
        <v>41</v>
      </c>
      <c r="K6" s="13" t="s">
        <v>42</v>
      </c>
      <c r="L6" s="178">
        <v>46149</v>
      </c>
      <c r="M6" s="178"/>
      <c r="N6" s="178" t="s">
        <v>43</v>
      </c>
      <c r="O6" s="13"/>
      <c r="P6" s="13" t="s">
        <v>244</v>
      </c>
      <c r="Q6" s="16" t="b">
        <v>0</v>
      </c>
      <c r="R6" s="15" t="s">
        <v>91</v>
      </c>
      <c r="S6" s="27" t="s">
        <v>245</v>
      </c>
      <c r="T6" s="27"/>
      <c r="U6" s="27" t="str">
        <f>IF(TablaCards[[#This Row],[Fecha requerida]]="","N",IF(TablaCards[[#This Row],[Fecha requerida]]&lt;=DATE(2026,4,30),"S","N"))</f>
        <v>N</v>
      </c>
    </row>
    <row r="7" spans="2:21" ht="14.5" hidden="1">
      <c r="B7" s="18">
        <v>5</v>
      </c>
      <c r="C7" s="18" t="s">
        <v>8</v>
      </c>
      <c r="D7" s="11" t="s">
        <v>35</v>
      </c>
      <c r="E7" s="2"/>
      <c r="F7" s="13" t="s">
        <v>162</v>
      </c>
      <c r="G7" s="13" t="s">
        <v>249</v>
      </c>
      <c r="H7" s="13" t="s">
        <v>250</v>
      </c>
      <c r="I7" s="13" t="s">
        <v>251</v>
      </c>
      <c r="J7" s="13" t="s">
        <v>41</v>
      </c>
      <c r="K7" s="13" t="s">
        <v>42</v>
      </c>
      <c r="L7" s="178">
        <v>46081</v>
      </c>
      <c r="M7" s="178"/>
      <c r="N7" s="178" t="s">
        <v>43</v>
      </c>
      <c r="O7" s="13"/>
      <c r="P7" s="13" t="s">
        <v>252</v>
      </c>
      <c r="Q7" s="16" t="b">
        <v>1</v>
      </c>
      <c r="R7" s="15" t="s">
        <v>179</v>
      </c>
      <c r="S7" s="27" t="s">
        <v>245</v>
      </c>
      <c r="T7" s="27"/>
      <c r="U7" s="27" t="str">
        <f>IF(TablaCards[[#This Row],[Fecha requerida]]="","N",IF(TablaCards[[#This Row],[Fecha requerida]]&lt;=DATE(2026,4,30),"S","N"))</f>
        <v>S</v>
      </c>
    </row>
    <row r="8" spans="2:21" ht="14.5" hidden="1">
      <c r="B8" s="18">
        <v>6</v>
      </c>
      <c r="C8" s="18" t="s">
        <v>8</v>
      </c>
      <c r="D8" s="11" t="s">
        <v>35</v>
      </c>
      <c r="E8" s="2"/>
      <c r="F8" s="13" t="s">
        <v>162</v>
      </c>
      <c r="G8" s="13" t="s">
        <v>253</v>
      </c>
      <c r="H8" s="13" t="s">
        <v>254</v>
      </c>
      <c r="I8" s="13" t="s">
        <v>255</v>
      </c>
      <c r="J8" s="13" t="s">
        <v>41</v>
      </c>
      <c r="K8" s="13" t="s">
        <v>42</v>
      </c>
      <c r="L8" s="178">
        <v>46112</v>
      </c>
      <c r="M8" s="178"/>
      <c r="N8" s="178" t="s">
        <v>43</v>
      </c>
      <c r="O8" s="13"/>
      <c r="P8" s="13" t="s">
        <v>252</v>
      </c>
      <c r="Q8" s="16" t="b">
        <v>1</v>
      </c>
      <c r="R8" s="15" t="s">
        <v>179</v>
      </c>
      <c r="S8" s="27" t="s">
        <v>245</v>
      </c>
      <c r="T8" s="27"/>
      <c r="U8" s="27" t="str">
        <f>IF(TablaCards[[#This Row],[Fecha requerida]]="","N",IF(TablaCards[[#This Row],[Fecha requerida]]&lt;=DATE(2026,4,30),"S","N"))</f>
        <v>S</v>
      </c>
    </row>
    <row r="9" spans="2:21" ht="14.5" hidden="1">
      <c r="B9" s="18">
        <v>7</v>
      </c>
      <c r="C9" s="18" t="s">
        <v>8</v>
      </c>
      <c r="D9" s="11" t="s">
        <v>35</v>
      </c>
      <c r="E9" s="2"/>
      <c r="F9" s="13" t="s">
        <v>162</v>
      </c>
      <c r="G9" s="13" t="s">
        <v>256</v>
      </c>
      <c r="H9" s="13" t="s">
        <v>257</v>
      </c>
      <c r="I9" s="13" t="s">
        <v>258</v>
      </c>
      <c r="J9" s="13" t="s">
        <v>41</v>
      </c>
      <c r="K9" s="13" t="s">
        <v>42</v>
      </c>
      <c r="L9" s="178">
        <v>46171</v>
      </c>
      <c r="M9" s="178"/>
      <c r="N9" s="178" t="s">
        <v>43</v>
      </c>
      <c r="O9" s="13"/>
      <c r="P9" s="13" t="s">
        <v>259</v>
      </c>
      <c r="Q9" s="16" t="b">
        <v>0</v>
      </c>
      <c r="R9" s="15" t="s">
        <v>169</v>
      </c>
      <c r="S9" s="27" t="s">
        <v>245</v>
      </c>
      <c r="T9" s="27"/>
      <c r="U9" s="27" t="str">
        <f>IF(TablaCards[[#This Row],[Fecha requerida]]="","N",IF(TablaCards[[#This Row],[Fecha requerida]]&lt;=DATE(2026,4,30),"S","N"))</f>
        <v>N</v>
      </c>
    </row>
    <row r="10" spans="2:21" ht="14.5" hidden="1">
      <c r="B10" s="18">
        <v>8</v>
      </c>
      <c r="C10" s="18" t="s">
        <v>8</v>
      </c>
      <c r="D10" s="11" t="s">
        <v>35</v>
      </c>
      <c r="E10" s="2"/>
      <c r="F10" s="13" t="s">
        <v>162</v>
      </c>
      <c r="G10" s="13" t="s">
        <v>260</v>
      </c>
      <c r="H10" s="13" t="s">
        <v>261</v>
      </c>
      <c r="I10" s="13" t="s">
        <v>262</v>
      </c>
      <c r="J10" s="13" t="s">
        <v>41</v>
      </c>
      <c r="K10" s="13" t="s">
        <v>42</v>
      </c>
      <c r="L10" s="178">
        <v>46142</v>
      </c>
      <c r="M10" s="178"/>
      <c r="N10" s="178" t="s">
        <v>43</v>
      </c>
      <c r="O10" s="13"/>
      <c r="P10" s="13" t="s">
        <v>263</v>
      </c>
      <c r="Q10" s="16" t="b">
        <v>1</v>
      </c>
      <c r="R10" s="15" t="s">
        <v>169</v>
      </c>
      <c r="S10" s="27" t="s">
        <v>245</v>
      </c>
      <c r="T10" s="27"/>
      <c r="U10" s="27" t="str">
        <f>IF(TablaCards[[#This Row],[Fecha requerida]]="","N",IF(TablaCards[[#This Row],[Fecha requerida]]&lt;=DATE(2026,4,30),"S","N"))</f>
        <v>S</v>
      </c>
    </row>
    <row r="11" spans="2:21" ht="14.5" hidden="1">
      <c r="B11" s="18">
        <v>9</v>
      </c>
      <c r="C11" s="18" t="s">
        <v>8</v>
      </c>
      <c r="D11" s="11" t="s">
        <v>35</v>
      </c>
      <c r="E11" s="2"/>
      <c r="F11" s="13" t="s">
        <v>162</v>
      </c>
      <c r="G11" s="13" t="s">
        <v>264</v>
      </c>
      <c r="H11" s="13" t="s">
        <v>265</v>
      </c>
      <c r="I11" s="13" t="s">
        <v>266</v>
      </c>
      <c r="J11" s="13" t="s">
        <v>267</v>
      </c>
      <c r="K11" s="13" t="s">
        <v>42</v>
      </c>
      <c r="L11" s="178">
        <v>46099</v>
      </c>
      <c r="M11" s="178"/>
      <c r="N11" s="178">
        <v>46099</v>
      </c>
      <c r="O11" s="13"/>
      <c r="P11" s="13" t="s">
        <v>268</v>
      </c>
      <c r="Q11" s="16" t="b">
        <v>1</v>
      </c>
      <c r="R11" s="15" t="s">
        <v>179</v>
      </c>
      <c r="S11" s="27" t="s">
        <v>245</v>
      </c>
      <c r="T11" s="27"/>
      <c r="U11" s="27" t="str">
        <f>IF(TablaCards[[#This Row],[Fecha requerida]]="","N",IF(TablaCards[[#This Row],[Fecha requerida]]&lt;=DATE(2026,4,30),"S","N"))</f>
        <v>S</v>
      </c>
    </row>
    <row r="12" spans="2:21" ht="14.5" hidden="1">
      <c r="B12" s="18">
        <v>10</v>
      </c>
      <c r="C12" s="18" t="s">
        <v>8</v>
      </c>
      <c r="D12" s="11" t="s">
        <v>35</v>
      </c>
      <c r="E12" s="2"/>
      <c r="F12" s="13" t="s">
        <v>46</v>
      </c>
      <c r="G12" s="13" t="s">
        <v>269</v>
      </c>
      <c r="H12" s="13" t="s">
        <v>265</v>
      </c>
      <c r="I12" s="13" t="s">
        <v>266</v>
      </c>
      <c r="J12" s="13" t="s">
        <v>267</v>
      </c>
      <c r="K12" s="13" t="s">
        <v>42</v>
      </c>
      <c r="L12" s="178">
        <v>46112</v>
      </c>
      <c r="M12" s="178"/>
      <c r="N12" s="178">
        <v>46112</v>
      </c>
      <c r="O12" s="13"/>
      <c r="P12" s="13" t="s">
        <v>270</v>
      </c>
      <c r="Q12" s="16" t="b">
        <v>1</v>
      </c>
      <c r="R12" s="15" t="s">
        <v>179</v>
      </c>
      <c r="S12" s="27" t="s">
        <v>245</v>
      </c>
      <c r="T12" s="27"/>
      <c r="U12" s="27" t="str">
        <f>IF(TablaCards[[#This Row],[Fecha requerida]]="","N",IF(TablaCards[[#This Row],[Fecha requerida]]&lt;=DATE(2026,4,30),"S","N"))</f>
        <v>S</v>
      </c>
    </row>
    <row r="13" spans="2:21" ht="14.5" hidden="1">
      <c r="B13" s="18">
        <v>11</v>
      </c>
      <c r="C13" s="18" t="s">
        <v>8</v>
      </c>
      <c r="D13" s="11" t="s">
        <v>35</v>
      </c>
      <c r="E13" s="2"/>
      <c r="F13" s="13" t="s">
        <v>162</v>
      </c>
      <c r="G13" s="13" t="s">
        <v>271</v>
      </c>
      <c r="H13" s="13" t="s">
        <v>272</v>
      </c>
      <c r="I13" s="13" t="s">
        <v>273</v>
      </c>
      <c r="J13" s="13" t="s">
        <v>41</v>
      </c>
      <c r="K13" s="13" t="s">
        <v>42</v>
      </c>
      <c r="L13" s="178">
        <v>46157</v>
      </c>
      <c r="M13" s="178"/>
      <c r="N13" s="178" t="s">
        <v>43</v>
      </c>
      <c r="O13" s="13"/>
      <c r="P13" s="13" t="s">
        <v>274</v>
      </c>
      <c r="Q13" s="16" t="b">
        <v>0</v>
      </c>
      <c r="R13" s="15" t="s">
        <v>103</v>
      </c>
      <c r="S13" s="27" t="s">
        <v>245</v>
      </c>
      <c r="T13" s="27"/>
      <c r="U13" s="27" t="str">
        <f>IF(TablaCards[[#This Row],[Fecha requerida]]="","N",IF(TablaCards[[#This Row],[Fecha requerida]]&lt;=DATE(2026,4,30),"S","N"))</f>
        <v>N</v>
      </c>
    </row>
    <row r="14" spans="2:21" ht="14.5" hidden="1">
      <c r="B14" s="18">
        <v>12</v>
      </c>
      <c r="C14" s="18" t="s">
        <v>8</v>
      </c>
      <c r="D14" s="11" t="s">
        <v>35</v>
      </c>
      <c r="E14" s="2"/>
      <c r="F14" s="13" t="s">
        <v>162</v>
      </c>
      <c r="G14" s="13" t="s">
        <v>5</v>
      </c>
      <c r="H14" s="13" t="s">
        <v>275</v>
      </c>
      <c r="I14" s="13" t="s">
        <v>276</v>
      </c>
      <c r="J14" s="13" t="s">
        <v>5</v>
      </c>
      <c r="K14" s="13" t="s">
        <v>42</v>
      </c>
      <c r="L14" s="178">
        <v>46157</v>
      </c>
      <c r="M14" s="178"/>
      <c r="N14" s="178" t="s">
        <v>43</v>
      </c>
      <c r="O14" s="13"/>
      <c r="P14" s="13" t="s">
        <v>277</v>
      </c>
      <c r="Q14" s="16" t="b">
        <v>0</v>
      </c>
      <c r="R14" s="15" t="s">
        <v>91</v>
      </c>
      <c r="S14" s="27" t="s">
        <v>245</v>
      </c>
      <c r="T14" s="27"/>
      <c r="U14" s="27" t="str">
        <f>IF(TablaCards[[#This Row],[Fecha requerida]]="","N",IF(TablaCards[[#This Row],[Fecha requerida]]&lt;=DATE(2026,4,30),"S","N"))</f>
        <v>N</v>
      </c>
    </row>
    <row r="15" spans="2:21" ht="14.5" hidden="1">
      <c r="B15" s="18">
        <v>13</v>
      </c>
      <c r="C15" s="18" t="s">
        <v>8</v>
      </c>
      <c r="D15" s="11" t="s">
        <v>35</v>
      </c>
      <c r="E15" s="2"/>
      <c r="F15" s="13" t="s">
        <v>162</v>
      </c>
      <c r="G15" s="13" t="s">
        <v>5</v>
      </c>
      <c r="H15" s="13" t="s">
        <v>278</v>
      </c>
      <c r="I15" s="13" t="s">
        <v>279</v>
      </c>
      <c r="J15" s="13" t="s">
        <v>5</v>
      </c>
      <c r="K15" s="13" t="s">
        <v>42</v>
      </c>
      <c r="L15" s="178">
        <v>46157</v>
      </c>
      <c r="M15" s="178"/>
      <c r="N15" s="178" t="s">
        <v>43</v>
      </c>
      <c r="O15" s="13"/>
      <c r="P15" s="13" t="s">
        <v>277</v>
      </c>
      <c r="Q15" s="16" t="b">
        <v>0</v>
      </c>
      <c r="R15" s="15" t="s">
        <v>91</v>
      </c>
      <c r="S15" s="27" t="s">
        <v>245</v>
      </c>
      <c r="T15" s="27"/>
      <c r="U15" s="27" t="str">
        <f>IF(TablaCards[[#This Row],[Fecha requerida]]="","N",IF(TablaCards[[#This Row],[Fecha requerida]]&lt;=DATE(2026,4,30),"S","N"))</f>
        <v>N</v>
      </c>
    </row>
    <row r="16" spans="2:21" ht="14.5" hidden="1">
      <c r="B16" s="18">
        <v>14</v>
      </c>
      <c r="C16" s="18" t="s">
        <v>8</v>
      </c>
      <c r="D16" s="11" t="s">
        <v>35</v>
      </c>
      <c r="E16" s="2"/>
      <c r="F16" s="13" t="s">
        <v>162</v>
      </c>
      <c r="G16" s="13" t="s">
        <v>241</v>
      </c>
      <c r="H16" s="13" t="s">
        <v>242</v>
      </c>
      <c r="I16" s="13" t="s">
        <v>280</v>
      </c>
      <c r="J16" s="13" t="s">
        <v>41</v>
      </c>
      <c r="K16" s="13" t="s">
        <v>42</v>
      </c>
      <c r="L16" s="178">
        <v>46142</v>
      </c>
      <c r="M16" s="178"/>
      <c r="N16" s="178" t="s">
        <v>43</v>
      </c>
      <c r="O16" s="13"/>
      <c r="P16" s="13" t="s">
        <v>244</v>
      </c>
      <c r="Q16" s="16" t="b">
        <v>1</v>
      </c>
      <c r="R16" s="15" t="s">
        <v>169</v>
      </c>
      <c r="S16" s="27" t="s">
        <v>281</v>
      </c>
      <c r="T16" s="27"/>
      <c r="U16" s="27" t="str">
        <f>IF(TablaCards[[#This Row],[Fecha requerida]]="","N",IF(TablaCards[[#This Row],[Fecha requerida]]&lt;=DATE(2026,4,30),"S","N"))</f>
        <v>S</v>
      </c>
    </row>
    <row r="17" spans="2:21" ht="14.5" hidden="1">
      <c r="B17" s="18">
        <v>15</v>
      </c>
      <c r="C17" s="18" t="s">
        <v>8</v>
      </c>
      <c r="D17" s="11" t="s">
        <v>35</v>
      </c>
      <c r="E17" s="2"/>
      <c r="F17" s="13" t="s">
        <v>10</v>
      </c>
      <c r="G17" s="13" t="s">
        <v>282</v>
      </c>
      <c r="H17" s="13" t="s">
        <v>283</v>
      </c>
      <c r="I17" s="13" t="s">
        <v>284</v>
      </c>
      <c r="J17" s="13" t="s">
        <v>41</v>
      </c>
      <c r="K17" s="13" t="s">
        <v>59</v>
      </c>
      <c r="L17" s="178">
        <v>46142</v>
      </c>
      <c r="M17" s="178"/>
      <c r="N17" s="178" t="s">
        <v>43</v>
      </c>
      <c r="O17" s="13"/>
      <c r="P17" s="13" t="s">
        <v>263</v>
      </c>
      <c r="Q17" s="16" t="b">
        <v>1</v>
      </c>
      <c r="R17" s="15" t="s">
        <v>169</v>
      </c>
      <c r="S17" s="27" t="s">
        <v>281</v>
      </c>
      <c r="T17" s="27"/>
      <c r="U17" s="27" t="str">
        <f>IF(TablaCards[[#This Row],[Fecha requerida]]="","N",IF(TablaCards[[#This Row],[Fecha requerida]]&lt;=DATE(2026,4,30),"S","N"))</f>
        <v>S</v>
      </c>
    </row>
    <row r="18" spans="2:21" ht="14.5" hidden="1">
      <c r="B18" s="18">
        <v>16</v>
      </c>
      <c r="C18" s="115" t="s">
        <v>8</v>
      </c>
      <c r="D18" s="11" t="s">
        <v>35</v>
      </c>
      <c r="E18" s="2"/>
      <c r="F18" s="13" t="s">
        <v>162</v>
      </c>
      <c r="G18" s="13" t="s">
        <v>260</v>
      </c>
      <c r="H18" s="13" t="s">
        <v>285</v>
      </c>
      <c r="I18" s="13" t="s">
        <v>286</v>
      </c>
      <c r="J18" s="13" t="s">
        <v>12</v>
      </c>
      <c r="K18" s="13" t="s">
        <v>42</v>
      </c>
      <c r="L18" s="178">
        <v>46101</v>
      </c>
      <c r="M18" s="178"/>
      <c r="N18" s="178">
        <v>46101</v>
      </c>
      <c r="O18" s="13"/>
      <c r="P18" s="13" t="s">
        <v>263</v>
      </c>
      <c r="Q18" s="16" t="b">
        <v>1</v>
      </c>
      <c r="R18" s="15" t="s">
        <v>179</v>
      </c>
      <c r="S18" s="27" t="s">
        <v>281</v>
      </c>
      <c r="T18" s="27"/>
      <c r="U18" s="27" t="str">
        <f>IF(TablaCards[[#This Row],[Fecha requerida]]="","N",IF(TablaCards[[#This Row],[Fecha requerida]]&lt;=DATE(2026,4,30),"S","N"))</f>
        <v>S</v>
      </c>
    </row>
    <row r="19" spans="2:21" ht="14.5" hidden="1">
      <c r="B19" s="18">
        <v>17</v>
      </c>
      <c r="C19" s="115" t="s">
        <v>8</v>
      </c>
      <c r="D19" s="11" t="s">
        <v>35</v>
      </c>
      <c r="E19" s="2"/>
      <c r="F19" s="115" t="s">
        <v>162</v>
      </c>
      <c r="G19" s="13" t="s">
        <v>287</v>
      </c>
      <c r="H19" s="18" t="s">
        <v>288</v>
      </c>
      <c r="I19" s="13" t="s">
        <v>289</v>
      </c>
      <c r="J19" s="13" t="s">
        <v>290</v>
      </c>
      <c r="K19" s="13" t="s">
        <v>42</v>
      </c>
      <c r="L19" s="178">
        <v>46080</v>
      </c>
      <c r="M19" s="178"/>
      <c r="N19" s="178">
        <v>46080</v>
      </c>
      <c r="O19" s="13"/>
      <c r="P19" s="13" t="s">
        <v>263</v>
      </c>
      <c r="Q19" s="16" t="b">
        <v>1</v>
      </c>
      <c r="R19" s="15" t="s">
        <v>179</v>
      </c>
      <c r="S19" s="27" t="s">
        <v>245</v>
      </c>
      <c r="T19" s="27"/>
      <c r="U19" s="27" t="str">
        <f>IF(TablaCards[[#This Row],[Fecha requerida]]="","N",IF(TablaCards[[#This Row],[Fecha requerida]]&lt;=DATE(2026,4,30),"S","N"))</f>
        <v>S</v>
      </c>
    </row>
    <row r="20" spans="2:21" ht="14.5" hidden="1">
      <c r="B20" s="18">
        <v>18</v>
      </c>
      <c r="C20" s="115" t="s">
        <v>8</v>
      </c>
      <c r="D20" s="11" t="s">
        <v>35</v>
      </c>
      <c r="E20" s="2"/>
      <c r="F20" s="13" t="s">
        <v>162</v>
      </c>
      <c r="G20" s="13" t="s">
        <v>260</v>
      </c>
      <c r="H20" s="13" t="s">
        <v>291</v>
      </c>
      <c r="I20" s="13" t="s">
        <v>292</v>
      </c>
      <c r="J20" s="13" t="s">
        <v>41</v>
      </c>
      <c r="K20" s="13" t="s">
        <v>42</v>
      </c>
      <c r="L20" s="178">
        <v>46136</v>
      </c>
      <c r="M20" s="178"/>
      <c r="N20" s="178" t="s">
        <v>43</v>
      </c>
      <c r="O20" s="13"/>
      <c r="P20" s="13" t="s">
        <v>263</v>
      </c>
      <c r="Q20" s="16" t="b">
        <v>1</v>
      </c>
      <c r="R20" s="15" t="s">
        <v>169</v>
      </c>
      <c r="S20" s="27" t="s">
        <v>281</v>
      </c>
      <c r="T20" s="27"/>
      <c r="U20" s="27" t="str">
        <f>IF(TablaCards[[#This Row],[Fecha requerida]]="","N",IF(TablaCards[[#This Row],[Fecha requerida]]&lt;=DATE(2026,4,30),"S","N"))</f>
        <v>S</v>
      </c>
    </row>
    <row r="21" spans="2:21" ht="15" customHeight="1">
      <c r="B21" s="18">
        <v>19</v>
      </c>
      <c r="C21" s="115" t="s">
        <v>8</v>
      </c>
      <c r="D21" s="11" t="s">
        <v>35</v>
      </c>
      <c r="E21" s="2"/>
      <c r="F21" s="13" t="s">
        <v>162</v>
      </c>
      <c r="G21" s="13" t="s">
        <v>260</v>
      </c>
      <c r="H21" s="13" t="s">
        <v>293</v>
      </c>
      <c r="I21" s="13" t="s">
        <v>294</v>
      </c>
      <c r="J21" s="13" t="s">
        <v>41</v>
      </c>
      <c r="K21" s="13" t="s">
        <v>42</v>
      </c>
      <c r="L21" s="178">
        <v>46142</v>
      </c>
      <c r="M21" s="178"/>
      <c r="N21" s="178">
        <v>46142</v>
      </c>
      <c r="O21" s="13"/>
      <c r="P21" s="13" t="s">
        <v>263</v>
      </c>
      <c r="Q21" s="16" t="b">
        <v>1</v>
      </c>
      <c r="R21" s="15" t="s">
        <v>103</v>
      </c>
      <c r="S21" s="27" t="s">
        <v>281</v>
      </c>
      <c r="T21" s="27"/>
      <c r="U21" s="27" t="str">
        <f>IF(TablaCards[[#This Row],[Fecha requerida]]="","N",IF(TablaCards[[#This Row],[Fecha requerida]]&lt;=DATE(2026,4,30),"S","N"))</f>
        <v>S</v>
      </c>
    </row>
    <row r="22" spans="2:21" ht="17.25" customHeight="1">
      <c r="B22" s="18">
        <v>20</v>
      </c>
      <c r="C22" s="115" t="s">
        <v>8</v>
      </c>
      <c r="D22" s="11" t="s">
        <v>35</v>
      </c>
      <c r="E22" s="119"/>
      <c r="F22" s="115" t="s">
        <v>162</v>
      </c>
      <c r="G22" s="13" t="s">
        <v>295</v>
      </c>
      <c r="H22" s="18" t="s">
        <v>296</v>
      </c>
      <c r="I22" s="13" t="s">
        <v>297</v>
      </c>
      <c r="J22" s="13" t="s">
        <v>41</v>
      </c>
      <c r="K22" s="13" t="s">
        <v>42</v>
      </c>
      <c r="L22" s="178">
        <v>46142</v>
      </c>
      <c r="M22" s="178"/>
      <c r="N22" s="178" t="s">
        <v>43</v>
      </c>
      <c r="O22" s="13"/>
      <c r="P22" s="13" t="s">
        <v>298</v>
      </c>
      <c r="Q22" s="16" t="b">
        <v>1</v>
      </c>
      <c r="R22" s="15" t="s">
        <v>91</v>
      </c>
      <c r="S22" s="27" t="s">
        <v>281</v>
      </c>
      <c r="T22" s="27"/>
      <c r="U22" s="27" t="str">
        <f>IF(TablaCards[[#This Row],[Fecha requerida]]="","N",IF(TablaCards[[#This Row],[Fecha requerida]]&lt;=DATE(2026,4,30),"S","N"))</f>
        <v>S</v>
      </c>
    </row>
    <row r="23" spans="2:21" ht="15" hidden="1" customHeight="1">
      <c r="B23" s="18">
        <v>21</v>
      </c>
      <c r="C23" s="115" t="s">
        <v>8</v>
      </c>
      <c r="D23" s="11" t="s">
        <v>35</v>
      </c>
      <c r="E23" s="119"/>
      <c r="F23" s="115" t="s">
        <v>162</v>
      </c>
      <c r="G23" s="18" t="s">
        <v>260</v>
      </c>
      <c r="H23" s="13" t="s">
        <v>299</v>
      </c>
      <c r="I23" s="13" t="s">
        <v>300</v>
      </c>
      <c r="J23" s="13" t="s">
        <v>41</v>
      </c>
      <c r="K23" s="13" t="s">
        <v>42</v>
      </c>
      <c r="L23" s="178">
        <v>46142</v>
      </c>
      <c r="M23" s="178"/>
      <c r="N23" s="178">
        <v>46142</v>
      </c>
      <c r="O23" s="13"/>
      <c r="P23" s="13" t="s">
        <v>244</v>
      </c>
      <c r="Q23" s="16" t="b">
        <v>1</v>
      </c>
      <c r="R23" s="15" t="s">
        <v>169</v>
      </c>
      <c r="S23" s="27" t="s">
        <v>281</v>
      </c>
      <c r="T23" s="27"/>
      <c r="U23" s="27" t="str">
        <f>IF(TablaCards[[#This Row],[Fecha requerida]]="","N",IF(TablaCards[[#This Row],[Fecha requerida]]&lt;=DATE(2026,4,30),"S","N"))</f>
        <v>S</v>
      </c>
    </row>
    <row r="24" spans="2:21" ht="15" customHeight="1">
      <c r="B24" s="18">
        <v>22</v>
      </c>
      <c r="C24" s="115" t="s">
        <v>8</v>
      </c>
      <c r="D24" s="11" t="s">
        <v>35</v>
      </c>
      <c r="E24" s="2"/>
      <c r="F24" s="115" t="s">
        <v>162</v>
      </c>
      <c r="G24" s="18" t="s">
        <v>260</v>
      </c>
      <c r="H24" s="13" t="s">
        <v>301</v>
      </c>
      <c r="I24" s="13"/>
      <c r="J24" s="13" t="s">
        <v>41</v>
      </c>
      <c r="K24" s="13" t="s">
        <v>42</v>
      </c>
      <c r="L24" s="178">
        <v>46142</v>
      </c>
      <c r="M24" s="178"/>
      <c r="N24" s="178" t="s">
        <v>43</v>
      </c>
      <c r="O24" s="13"/>
      <c r="P24" s="13" t="s">
        <v>244</v>
      </c>
      <c r="Q24" s="16" t="b">
        <v>1</v>
      </c>
      <c r="R24" s="15" t="s">
        <v>103</v>
      </c>
      <c r="S24" s="27" t="s">
        <v>281</v>
      </c>
      <c r="T24" s="27"/>
      <c r="U24" s="27" t="str">
        <f>IF(TablaCards[[#This Row],[Fecha requerida]]="","N",IF(TablaCards[[#This Row],[Fecha requerida]]&lt;=DATE(2026,4,30),"S","N"))</f>
        <v>S</v>
      </c>
    </row>
    <row r="25" spans="2:21" ht="15" hidden="1" customHeight="1">
      <c r="B25" s="18">
        <v>23</v>
      </c>
      <c r="C25" s="115" t="s">
        <v>8</v>
      </c>
      <c r="D25" s="11" t="s">
        <v>35</v>
      </c>
      <c r="E25" s="2"/>
      <c r="F25" s="13" t="s">
        <v>162</v>
      </c>
      <c r="G25" s="13" t="s">
        <v>260</v>
      </c>
      <c r="H25" s="13" t="s">
        <v>302</v>
      </c>
      <c r="I25" s="13" t="s">
        <v>303</v>
      </c>
      <c r="J25" s="13" t="s">
        <v>41</v>
      </c>
      <c r="K25" s="13" t="s">
        <v>42</v>
      </c>
      <c r="L25" s="178">
        <v>46171</v>
      </c>
      <c r="M25" s="178"/>
      <c r="N25" s="178" t="s">
        <v>43</v>
      </c>
      <c r="O25" s="13"/>
      <c r="P25" s="13" t="s">
        <v>263</v>
      </c>
      <c r="Q25" s="16" t="b">
        <v>0</v>
      </c>
      <c r="R25" s="15" t="s">
        <v>103</v>
      </c>
      <c r="S25" s="27" t="s">
        <v>281</v>
      </c>
      <c r="T25" s="27"/>
      <c r="U25" s="27" t="str">
        <f>IF(TablaCards[[#This Row],[Fecha requerida]]="","N",IF(TablaCards[[#This Row],[Fecha requerida]]&lt;=DATE(2026,4,30),"S","N"))</f>
        <v>N</v>
      </c>
    </row>
    <row r="26" spans="2:21" ht="15" hidden="1" customHeight="1">
      <c r="B26" s="18">
        <v>24</v>
      </c>
      <c r="C26" s="115" t="s">
        <v>8</v>
      </c>
      <c r="D26" s="11" t="s">
        <v>35</v>
      </c>
      <c r="E26" s="2"/>
      <c r="F26" s="13" t="s">
        <v>162</v>
      </c>
      <c r="G26" s="13" t="s">
        <v>304</v>
      </c>
      <c r="H26" s="13" t="s">
        <v>305</v>
      </c>
      <c r="I26" s="13" t="s">
        <v>306</v>
      </c>
      <c r="J26" s="13" t="s">
        <v>41</v>
      </c>
      <c r="K26" s="13" t="s">
        <v>42</v>
      </c>
      <c r="L26" s="178">
        <v>46171</v>
      </c>
      <c r="M26" s="178"/>
      <c r="N26" s="178" t="s">
        <v>43</v>
      </c>
      <c r="O26" s="13"/>
      <c r="P26" s="13" t="s">
        <v>307</v>
      </c>
      <c r="Q26" s="16" t="b">
        <v>0</v>
      </c>
      <c r="R26" s="15" t="s">
        <v>103</v>
      </c>
      <c r="S26" s="27" t="s">
        <v>281</v>
      </c>
      <c r="T26" s="27"/>
      <c r="U26" s="27" t="str">
        <f>IF(TablaCards[[#This Row],[Fecha requerida]]="","N",IF(TablaCards[[#This Row],[Fecha requerida]]&lt;=DATE(2026,4,30),"S","N"))</f>
        <v>N</v>
      </c>
    </row>
    <row r="27" spans="2:21" ht="15" hidden="1" customHeight="1">
      <c r="B27" s="18">
        <v>25</v>
      </c>
      <c r="C27" s="115" t="s">
        <v>8</v>
      </c>
      <c r="D27" s="11" t="s">
        <v>35</v>
      </c>
      <c r="E27" s="2"/>
      <c r="F27" s="13" t="s">
        <v>162</v>
      </c>
      <c r="G27" s="13" t="s">
        <v>304</v>
      </c>
      <c r="H27" s="13" t="s">
        <v>308</v>
      </c>
      <c r="I27" s="13" t="s">
        <v>309</v>
      </c>
      <c r="J27" s="13" t="s">
        <v>41</v>
      </c>
      <c r="K27" s="13" t="s">
        <v>42</v>
      </c>
      <c r="L27" s="189">
        <v>46171</v>
      </c>
      <c r="M27" s="178"/>
      <c r="N27" s="178" t="s">
        <v>43</v>
      </c>
      <c r="O27" s="13"/>
      <c r="P27" s="13" t="s">
        <v>307</v>
      </c>
      <c r="Q27" s="16" t="b">
        <v>0</v>
      </c>
      <c r="R27" s="15" t="s">
        <v>103</v>
      </c>
      <c r="S27" s="27" t="s">
        <v>281</v>
      </c>
      <c r="T27" s="27"/>
      <c r="U27" s="27" t="str">
        <f>IF(TablaCards[[#This Row],[Fecha requerida]]="","N",IF(TablaCards[[#This Row],[Fecha requerida]]&lt;=DATE(2026,4,30),"S","N"))</f>
        <v>N</v>
      </c>
    </row>
  </sheetData>
  <dataValidations count="1">
    <dataValidation type="date" allowBlank="1" showInputMessage="1" showErrorMessage="1" sqref="L1:N1048576" xr:uid="{00E1D6BF-7E00-4CA2-9A4A-06270282232D}">
      <formula1>46023</formula1>
      <formula2>46387</formula2>
    </dataValidation>
  </dataValidations>
  <pageMargins left="0.7" right="0.7" top="0.75" bottom="0.75" header="0.3" footer="0.3"/>
  <legacyDrawing r:id="rId1"/>
  <tableParts count="1">
    <tablePart r:id="rId2"/>
  </tableParts>
  <extLst>
    <ext xmlns:x14="http://schemas.microsoft.com/office/spreadsheetml/2009/9/main" uri="{CCE6A557-97BC-4b89-ADB6-D9C93CAAB3DF}">
      <x14:dataValidations xmlns:xm="http://schemas.microsoft.com/office/excel/2006/main" count="3">
        <x14:dataValidation type="list" allowBlank="1" showInputMessage="1" showErrorMessage="1" xr:uid="{597D76C0-D678-497A-8AD7-46B6CDA3EE70}">
          <x14:formula1>
            <xm:f>Catálogo!$B$3:$B$8</xm:f>
          </x14:formula1>
          <xm:sqref>J3:J23 J25:J27</xm:sqref>
        </x14:dataValidation>
        <x14:dataValidation type="list" allowBlank="1" showInputMessage="1" showErrorMessage="1" xr:uid="{0D74670A-EC48-43DF-93E0-0CDD09548292}">
          <x14:formula1>
            <xm:f>Catálogo!$C$3:$C$5</xm:f>
          </x14:formula1>
          <xm:sqref>K3:K27</xm:sqref>
        </x14:dataValidation>
        <x14:dataValidation type="list" allowBlank="1" showInputMessage="1" showErrorMessage="1" xr:uid="{D26B31AB-C275-44CC-A5BD-1D00CA5E473A}">
          <x14:formula1>
            <xm:f>Parametros!$B$2:$B$6</xm:f>
          </x14:formula1>
          <xm:sqref>R1:R1048576</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A9605-1363-4426-B1F5-A8E5566CCB57}">
  <dimension ref="B1:U147"/>
  <sheetViews>
    <sheetView showGridLines="0" zoomScale="84" zoomScaleNormal="84" workbookViewId="0">
      <pane xSplit="6" ySplit="2" topLeftCell="G3" activePane="bottomRight" state="frozen"/>
      <selection pane="topRight" activeCell="G1" sqref="G1"/>
      <selection pane="bottomLeft" activeCell="A3" sqref="A3"/>
      <selection pane="bottomRight" activeCell="I5" sqref="I5"/>
    </sheetView>
  </sheetViews>
  <sheetFormatPr baseColWidth="10" defaultColWidth="11.453125" defaultRowHeight="15" customHeight="1"/>
  <cols>
    <col min="1" max="1" width="3" customWidth="1"/>
    <col min="2" max="2" width="8.1796875" customWidth="1"/>
    <col min="3" max="3" width="13" customWidth="1"/>
    <col min="4" max="4" width="9.453125" bestFit="1" customWidth="1"/>
    <col min="5" max="5" width="15.1796875" customWidth="1"/>
    <col min="6" max="6" width="14.54296875" style="1" customWidth="1"/>
    <col min="7" max="7" width="18.1796875" style="1" customWidth="1"/>
    <col min="8" max="8" width="24.54296875" style="1" customWidth="1"/>
    <col min="9" max="9" width="48.7265625" style="1" customWidth="1"/>
    <col min="10" max="10" width="17.453125" style="1" bestFit="1" customWidth="1"/>
    <col min="11" max="11" width="12.453125" style="1" customWidth="1"/>
    <col min="12" max="13" width="12.453125" style="71" customWidth="1"/>
    <col min="14" max="14" width="17.1796875" style="183" customWidth="1"/>
    <col min="15" max="15" width="57.81640625" style="1" customWidth="1"/>
    <col min="16" max="16" width="14.1796875" style="1" customWidth="1"/>
    <col min="17" max="17" width="14.1796875" customWidth="1"/>
    <col min="18" max="18" width="20.54296875" style="6" customWidth="1"/>
  </cols>
  <sheetData>
    <row r="1" spans="2:21" ht="9" customHeight="1"/>
    <row r="2" spans="2:21" s="3" customFormat="1" ht="20.25" customHeight="1">
      <c r="B2" s="10" t="s">
        <v>80</v>
      </c>
      <c r="C2" s="10" t="s">
        <v>0</v>
      </c>
      <c r="D2" s="10" t="s">
        <v>20</v>
      </c>
      <c r="E2" s="3" t="s">
        <v>81</v>
      </c>
      <c r="F2" s="4" t="s">
        <v>22</v>
      </c>
      <c r="G2" s="4" t="s">
        <v>23</v>
      </c>
      <c r="H2" s="4" t="s">
        <v>24</v>
      </c>
      <c r="I2" s="4" t="s">
        <v>25</v>
      </c>
      <c r="J2" s="5" t="s">
        <v>26</v>
      </c>
      <c r="K2" s="5" t="s">
        <v>27</v>
      </c>
      <c r="L2" s="184" t="s">
        <v>28</v>
      </c>
      <c r="M2" s="184" t="s">
        <v>82</v>
      </c>
      <c r="N2" s="185" t="s">
        <v>29</v>
      </c>
      <c r="O2" s="7" t="s">
        <v>30</v>
      </c>
      <c r="P2" s="4" t="s">
        <v>31</v>
      </c>
      <c r="Q2" s="3" t="s">
        <v>32</v>
      </c>
      <c r="R2" s="4" t="s">
        <v>33</v>
      </c>
      <c r="S2" s="3" t="s">
        <v>34</v>
      </c>
      <c r="T2" s="3" t="s">
        <v>83</v>
      </c>
      <c r="U2" s="3" t="s">
        <v>84</v>
      </c>
    </row>
    <row r="3" spans="2:21" ht="14.5">
      <c r="B3" s="11">
        <v>1</v>
      </c>
      <c r="C3" s="18" t="s">
        <v>10</v>
      </c>
      <c r="D3" s="11" t="s">
        <v>35</v>
      </c>
      <c r="E3" s="13" t="s">
        <v>310</v>
      </c>
      <c r="F3" s="13" t="s">
        <v>162</v>
      </c>
      <c r="G3" s="37" t="s">
        <v>311</v>
      </c>
      <c r="H3" s="13" t="s">
        <v>312</v>
      </c>
      <c r="I3" s="177" t="s">
        <v>313</v>
      </c>
      <c r="J3" s="37" t="s">
        <v>267</v>
      </c>
      <c r="K3" s="37" t="s">
        <v>59</v>
      </c>
      <c r="L3" s="147">
        <v>46326</v>
      </c>
      <c r="M3" s="147"/>
      <c r="N3" s="149">
        <v>46157</v>
      </c>
      <c r="O3" s="13" t="s">
        <v>314</v>
      </c>
      <c r="P3" s="37" t="s">
        <v>164</v>
      </c>
      <c r="Q3" s="38" t="b">
        <v>0</v>
      </c>
      <c r="R3" s="39" t="s">
        <v>91</v>
      </c>
      <c r="S3" s="27" t="s">
        <v>10</v>
      </c>
      <c r="T3" s="27"/>
      <c r="U3" s="27" t="str">
        <f>IF(TablaCore[[#This Row],[Fecha requerida]]="","N",IF(TablaCore[[#This Row],[Fecha requerida]]&lt;=DATE(2026,4,30),"S","N"))</f>
        <v>N</v>
      </c>
    </row>
    <row r="4" spans="2:21" ht="14.5">
      <c r="B4" s="11">
        <v>2</v>
      </c>
      <c r="C4" s="18" t="s">
        <v>10</v>
      </c>
      <c r="D4" s="11" t="s">
        <v>35</v>
      </c>
      <c r="E4" s="13" t="s">
        <v>315</v>
      </c>
      <c r="F4" s="13" t="s">
        <v>316</v>
      </c>
      <c r="G4" s="37" t="s">
        <v>317</v>
      </c>
      <c r="H4" s="13" t="s">
        <v>318</v>
      </c>
      <c r="I4" s="13" t="s">
        <v>319</v>
      </c>
      <c r="J4" s="59" t="s">
        <v>41</v>
      </c>
      <c r="K4" s="59" t="s">
        <v>59</v>
      </c>
      <c r="L4" s="148">
        <v>46203</v>
      </c>
      <c r="M4" s="148"/>
      <c r="N4" s="148">
        <v>46203</v>
      </c>
      <c r="O4" s="37" t="s">
        <v>320</v>
      </c>
      <c r="P4" s="37" t="s">
        <v>164</v>
      </c>
      <c r="Q4" s="60" t="b">
        <v>0</v>
      </c>
      <c r="R4" s="39" t="s">
        <v>91</v>
      </c>
      <c r="S4" s="27" t="s">
        <v>10</v>
      </c>
      <c r="T4" s="27"/>
      <c r="U4" s="27" t="str">
        <f>IF(TablaCore[[#This Row],[Fecha requerida]]="","N",IF(TablaCore[[#This Row],[Fecha requerida]]&lt;=DATE(2026,4,30),"S","N"))</f>
        <v>N</v>
      </c>
    </row>
    <row r="5" spans="2:21" ht="14.5">
      <c r="B5" s="11">
        <v>3</v>
      </c>
      <c r="C5" s="18" t="s">
        <v>10</v>
      </c>
      <c r="D5" s="11" t="s">
        <v>35</v>
      </c>
      <c r="E5" s="141" t="s">
        <v>321</v>
      </c>
      <c r="F5" s="13" t="s">
        <v>316</v>
      </c>
      <c r="G5" s="37" t="s">
        <v>317</v>
      </c>
      <c r="H5" s="13" t="s">
        <v>318</v>
      </c>
      <c r="I5" s="13" t="s">
        <v>322</v>
      </c>
      <c r="J5" s="37" t="s">
        <v>41</v>
      </c>
      <c r="K5" s="37" t="s">
        <v>59</v>
      </c>
      <c r="L5" s="148">
        <v>46203</v>
      </c>
      <c r="M5" s="148"/>
      <c r="N5" s="148">
        <v>46203</v>
      </c>
      <c r="O5" s="37" t="s">
        <v>320</v>
      </c>
      <c r="P5" s="37" t="s">
        <v>164</v>
      </c>
      <c r="Q5" s="38" t="b">
        <v>0</v>
      </c>
      <c r="R5" s="39" t="s">
        <v>91</v>
      </c>
      <c r="S5" s="27" t="s">
        <v>10</v>
      </c>
      <c r="T5" s="27"/>
      <c r="U5" s="27" t="str">
        <f>IF(TablaCore[[#This Row],[Fecha requerida]]="","N",IF(TablaCore[[#This Row],[Fecha requerida]]&lt;=DATE(2026,4,30),"S","N"))</f>
        <v>N</v>
      </c>
    </row>
    <row r="6" spans="2:21" ht="14.5">
      <c r="B6" s="11">
        <v>4</v>
      </c>
      <c r="C6" s="18" t="s">
        <v>10</v>
      </c>
      <c r="D6" s="11" t="s">
        <v>35</v>
      </c>
      <c r="E6" s="141" t="s">
        <v>323</v>
      </c>
      <c r="F6" s="13" t="s">
        <v>316</v>
      </c>
      <c r="G6" s="37" t="s">
        <v>317</v>
      </c>
      <c r="H6" s="13" t="s">
        <v>318</v>
      </c>
      <c r="I6" s="13" t="s">
        <v>324</v>
      </c>
      <c r="J6" s="37" t="s">
        <v>41</v>
      </c>
      <c r="K6" s="37" t="s">
        <v>59</v>
      </c>
      <c r="L6" s="148">
        <v>46203</v>
      </c>
      <c r="M6" s="148"/>
      <c r="N6" s="148">
        <v>46203</v>
      </c>
      <c r="O6" s="37" t="s">
        <v>320</v>
      </c>
      <c r="P6" s="37" t="s">
        <v>164</v>
      </c>
      <c r="Q6" s="38" t="b">
        <v>0</v>
      </c>
      <c r="R6" s="39" t="s">
        <v>91</v>
      </c>
      <c r="S6" s="27" t="s">
        <v>10</v>
      </c>
      <c r="T6" s="27"/>
      <c r="U6" s="27" t="str">
        <f>IF(TablaCore[[#This Row],[Fecha requerida]]="","N",IF(TablaCore[[#This Row],[Fecha requerida]]&lt;=DATE(2026,4,30),"S","N"))</f>
        <v>N</v>
      </c>
    </row>
    <row r="7" spans="2:21" ht="14.5">
      <c r="B7" s="11">
        <v>5</v>
      </c>
      <c r="C7" s="18" t="s">
        <v>10</v>
      </c>
      <c r="D7" s="11" t="s">
        <v>35</v>
      </c>
      <c r="E7" s="141" t="s">
        <v>325</v>
      </c>
      <c r="F7" s="13" t="s">
        <v>316</v>
      </c>
      <c r="G7" s="37" t="s">
        <v>317</v>
      </c>
      <c r="H7" s="13" t="s">
        <v>318</v>
      </c>
      <c r="I7" s="13" t="s">
        <v>326</v>
      </c>
      <c r="J7" s="37" t="s">
        <v>41</v>
      </c>
      <c r="K7" s="37" t="s">
        <v>59</v>
      </c>
      <c r="L7" s="148">
        <v>46172</v>
      </c>
      <c r="M7" s="148"/>
      <c r="N7" s="147">
        <v>46172</v>
      </c>
      <c r="O7" s="37" t="s">
        <v>320</v>
      </c>
      <c r="P7" s="37" t="s">
        <v>164</v>
      </c>
      <c r="Q7" s="38" t="b">
        <v>0</v>
      </c>
      <c r="R7" s="39" t="s">
        <v>91</v>
      </c>
      <c r="S7" s="27" t="s">
        <v>10</v>
      </c>
      <c r="T7" s="27"/>
      <c r="U7" s="27" t="str">
        <f>IF(TablaCore[[#This Row],[Fecha requerida]]="","N",IF(TablaCore[[#This Row],[Fecha requerida]]&lt;=DATE(2026,4,30),"S","N"))</f>
        <v>N</v>
      </c>
    </row>
    <row r="8" spans="2:21" ht="14.5">
      <c r="B8" s="11">
        <v>6</v>
      </c>
      <c r="C8" s="18" t="s">
        <v>10</v>
      </c>
      <c r="D8" s="11" t="s">
        <v>35</v>
      </c>
      <c r="E8" s="141" t="s">
        <v>327</v>
      </c>
      <c r="F8" s="13" t="s">
        <v>316</v>
      </c>
      <c r="G8" s="37" t="s">
        <v>317</v>
      </c>
      <c r="H8" s="13" t="s">
        <v>318</v>
      </c>
      <c r="I8" s="13" t="s">
        <v>328</v>
      </c>
      <c r="J8" s="37" t="s">
        <v>267</v>
      </c>
      <c r="K8" s="37" t="s">
        <v>59</v>
      </c>
      <c r="L8" s="148">
        <v>46312</v>
      </c>
      <c r="M8" s="148"/>
      <c r="N8" s="147">
        <v>46312</v>
      </c>
      <c r="O8" s="37" t="s">
        <v>320</v>
      </c>
      <c r="P8" s="37" t="s">
        <v>164</v>
      </c>
      <c r="Q8" s="38" t="b">
        <v>0</v>
      </c>
      <c r="R8" s="39" t="s">
        <v>91</v>
      </c>
      <c r="S8" s="27" t="s">
        <v>10</v>
      </c>
      <c r="T8" s="27"/>
      <c r="U8" s="27" t="str">
        <f>IF(TablaCore[[#This Row],[Fecha requerida]]="","N",IF(TablaCore[[#This Row],[Fecha requerida]]&lt;=DATE(2026,4,30),"S","N"))</f>
        <v>N</v>
      </c>
    </row>
    <row r="9" spans="2:21" ht="14.5">
      <c r="B9" s="11">
        <v>7</v>
      </c>
      <c r="C9" s="18" t="s">
        <v>10</v>
      </c>
      <c r="D9" s="11" t="s">
        <v>35</v>
      </c>
      <c r="E9" s="28" t="s">
        <v>329</v>
      </c>
      <c r="F9" s="13" t="s">
        <v>330</v>
      </c>
      <c r="G9" s="13" t="s">
        <v>330</v>
      </c>
      <c r="H9" s="13" t="s">
        <v>331</v>
      </c>
      <c r="I9" s="177" t="s">
        <v>332</v>
      </c>
      <c r="J9" s="37" t="s">
        <v>267</v>
      </c>
      <c r="K9" s="37" t="s">
        <v>59</v>
      </c>
      <c r="L9" s="148">
        <v>46312</v>
      </c>
      <c r="M9" s="148"/>
      <c r="N9" s="147">
        <v>46312</v>
      </c>
      <c r="O9" s="37" t="s">
        <v>333</v>
      </c>
      <c r="P9" s="37" t="s">
        <v>164</v>
      </c>
      <c r="Q9" s="38" t="b">
        <v>0</v>
      </c>
      <c r="R9" s="39" t="s">
        <v>91</v>
      </c>
      <c r="S9" s="27" t="s">
        <v>10</v>
      </c>
      <c r="T9" s="27"/>
      <c r="U9" s="27" t="str">
        <f>IF(TablaCore[[#This Row],[Fecha requerida]]="","N",IF(TablaCore[[#This Row],[Fecha requerida]]&lt;=DATE(2026,4,30),"S","N"))</f>
        <v>N</v>
      </c>
    </row>
    <row r="10" spans="2:21" ht="14.5">
      <c r="B10" s="11">
        <v>8</v>
      </c>
      <c r="C10" s="18" t="s">
        <v>10</v>
      </c>
      <c r="D10" s="11" t="s">
        <v>35</v>
      </c>
      <c r="E10" s="28" t="s">
        <v>334</v>
      </c>
      <c r="F10" s="13" t="s">
        <v>316</v>
      </c>
      <c r="G10" s="37" t="s">
        <v>317</v>
      </c>
      <c r="H10" s="13" t="s">
        <v>318</v>
      </c>
      <c r="I10" s="13" t="s">
        <v>335</v>
      </c>
      <c r="J10" s="37" t="s">
        <v>41</v>
      </c>
      <c r="K10" s="37" t="s">
        <v>59</v>
      </c>
      <c r="L10" s="148">
        <v>46203</v>
      </c>
      <c r="M10" s="148"/>
      <c r="N10" s="148">
        <v>46203</v>
      </c>
      <c r="O10" s="37" t="s">
        <v>320</v>
      </c>
      <c r="P10" s="37" t="s">
        <v>164</v>
      </c>
      <c r="Q10" s="38" t="b">
        <v>0</v>
      </c>
      <c r="R10" s="39" t="s">
        <v>91</v>
      </c>
      <c r="S10" s="27" t="s">
        <v>10</v>
      </c>
      <c r="T10" s="27"/>
      <c r="U10" s="27" t="str">
        <f>IF(TablaCore[[#This Row],[Fecha requerida]]="","N",IF(TablaCore[[#This Row],[Fecha requerida]]&lt;=DATE(2026,4,30),"S","N"))</f>
        <v>N</v>
      </c>
    </row>
    <row r="11" spans="2:21" ht="14.5">
      <c r="B11" s="11">
        <v>9</v>
      </c>
      <c r="C11" s="18" t="s">
        <v>10</v>
      </c>
      <c r="D11" s="11" t="s">
        <v>35</v>
      </c>
      <c r="E11" s="28" t="s">
        <v>336</v>
      </c>
      <c r="F11" s="13" t="s">
        <v>316</v>
      </c>
      <c r="G11" s="37" t="s">
        <v>317</v>
      </c>
      <c r="H11" s="13" t="s">
        <v>318</v>
      </c>
      <c r="I11" s="13" t="s">
        <v>337</v>
      </c>
      <c r="J11" s="37" t="s">
        <v>41</v>
      </c>
      <c r="K11" s="37" t="s">
        <v>59</v>
      </c>
      <c r="L11" s="148">
        <v>46203</v>
      </c>
      <c r="M11" s="148"/>
      <c r="N11" s="148">
        <v>46203</v>
      </c>
      <c r="O11" s="37" t="s">
        <v>320</v>
      </c>
      <c r="P11" s="37" t="s">
        <v>164</v>
      </c>
      <c r="Q11" s="38" t="b">
        <v>0</v>
      </c>
      <c r="R11" s="39" t="s">
        <v>91</v>
      </c>
      <c r="S11" s="27" t="s">
        <v>10</v>
      </c>
      <c r="T11" s="27"/>
      <c r="U11" s="27" t="str">
        <f>IF(TablaCore[[#This Row],[Fecha requerida]]="","N",IF(TablaCore[[#This Row],[Fecha requerida]]&lt;=DATE(2026,4,30),"S","N"))</f>
        <v>N</v>
      </c>
    </row>
    <row r="12" spans="2:21" ht="14.5">
      <c r="B12" s="11">
        <v>10</v>
      </c>
      <c r="C12" s="18" t="s">
        <v>10</v>
      </c>
      <c r="D12" s="11" t="s">
        <v>35</v>
      </c>
      <c r="E12" s="28" t="s">
        <v>338</v>
      </c>
      <c r="F12" s="13" t="s">
        <v>316</v>
      </c>
      <c r="G12" s="37" t="s">
        <v>317</v>
      </c>
      <c r="H12" s="13" t="s">
        <v>318</v>
      </c>
      <c r="I12" s="13" t="s">
        <v>339</v>
      </c>
      <c r="J12" s="37" t="s">
        <v>41</v>
      </c>
      <c r="K12" s="37" t="s">
        <v>59</v>
      </c>
      <c r="L12" s="148">
        <v>46203</v>
      </c>
      <c r="M12" s="148"/>
      <c r="N12" s="148">
        <v>46203</v>
      </c>
      <c r="O12" s="37" t="s">
        <v>320</v>
      </c>
      <c r="P12" s="37" t="s">
        <v>164</v>
      </c>
      <c r="Q12" s="38" t="b">
        <v>0</v>
      </c>
      <c r="R12" s="39" t="s">
        <v>91</v>
      </c>
      <c r="S12" s="27" t="s">
        <v>10</v>
      </c>
      <c r="T12" s="27"/>
      <c r="U12" s="27" t="str">
        <f>IF(TablaCore[[#This Row],[Fecha requerida]]="","N",IF(TablaCore[[#This Row],[Fecha requerida]]&lt;=DATE(2026,4,30),"S","N"))</f>
        <v>N</v>
      </c>
    </row>
    <row r="13" spans="2:21" ht="14.5">
      <c r="B13" s="11">
        <v>11</v>
      </c>
      <c r="C13" s="18" t="s">
        <v>10</v>
      </c>
      <c r="D13" s="11" t="s">
        <v>35</v>
      </c>
      <c r="E13" s="28" t="s">
        <v>340</v>
      </c>
      <c r="F13" s="13" t="s">
        <v>316</v>
      </c>
      <c r="G13" s="37" t="s">
        <v>317</v>
      </c>
      <c r="H13" s="13" t="s">
        <v>318</v>
      </c>
      <c r="I13" s="13" t="s">
        <v>341</v>
      </c>
      <c r="J13" s="37" t="s">
        <v>41</v>
      </c>
      <c r="K13" s="37" t="s">
        <v>59</v>
      </c>
      <c r="L13" s="147">
        <v>46203</v>
      </c>
      <c r="M13" s="147"/>
      <c r="N13" s="147">
        <v>46203</v>
      </c>
      <c r="O13" s="37" t="s">
        <v>320</v>
      </c>
      <c r="P13" s="37" t="s">
        <v>164</v>
      </c>
      <c r="Q13" s="38" t="b">
        <v>0</v>
      </c>
      <c r="R13" s="39" t="s">
        <v>91</v>
      </c>
      <c r="S13" s="27" t="s">
        <v>10</v>
      </c>
      <c r="T13" s="27"/>
      <c r="U13" s="27" t="str">
        <f>IF(TablaCore[[#This Row],[Fecha requerida]]="","N",IF(TablaCore[[#This Row],[Fecha requerida]]&lt;=DATE(2026,4,30),"S","N"))</f>
        <v>N</v>
      </c>
    </row>
    <row r="14" spans="2:21" ht="14.5">
      <c r="B14" s="11">
        <v>12</v>
      </c>
      <c r="C14" s="18" t="s">
        <v>10</v>
      </c>
      <c r="D14" s="11" t="s">
        <v>35</v>
      </c>
      <c r="E14" s="28" t="s">
        <v>342</v>
      </c>
      <c r="F14" s="13" t="s">
        <v>316</v>
      </c>
      <c r="G14" s="37" t="s">
        <v>317</v>
      </c>
      <c r="H14" s="13" t="s">
        <v>318</v>
      </c>
      <c r="I14" s="13" t="s">
        <v>343</v>
      </c>
      <c r="J14" s="37" t="s">
        <v>41</v>
      </c>
      <c r="K14" s="37" t="s">
        <v>59</v>
      </c>
      <c r="L14" s="147">
        <v>46203</v>
      </c>
      <c r="M14" s="147"/>
      <c r="N14" s="147">
        <v>46203</v>
      </c>
      <c r="O14" s="37" t="s">
        <v>320</v>
      </c>
      <c r="P14" s="37" t="s">
        <v>164</v>
      </c>
      <c r="Q14" s="38" t="b">
        <v>0</v>
      </c>
      <c r="R14" s="39" t="s">
        <v>91</v>
      </c>
      <c r="S14" s="27" t="s">
        <v>10</v>
      </c>
      <c r="T14" s="27"/>
      <c r="U14" s="27" t="str">
        <f>IF(TablaCore[[#This Row],[Fecha requerida]]="","N",IF(TablaCore[[#This Row],[Fecha requerida]]&lt;=DATE(2026,4,30),"S","N"))</f>
        <v>N</v>
      </c>
    </row>
    <row r="15" spans="2:21" ht="14.5">
      <c r="B15" s="11">
        <v>13</v>
      </c>
      <c r="C15" s="18" t="s">
        <v>10</v>
      </c>
      <c r="D15" s="11" t="s">
        <v>35</v>
      </c>
      <c r="E15" s="28" t="s">
        <v>344</v>
      </c>
      <c r="F15" s="13" t="s">
        <v>316</v>
      </c>
      <c r="G15" s="37" t="s">
        <v>317</v>
      </c>
      <c r="H15" s="13" t="s">
        <v>318</v>
      </c>
      <c r="I15" s="13" t="s">
        <v>345</v>
      </c>
      <c r="J15" s="37" t="s">
        <v>41</v>
      </c>
      <c r="K15" s="37" t="s">
        <v>59</v>
      </c>
      <c r="L15" s="147">
        <v>46203</v>
      </c>
      <c r="M15" s="147"/>
      <c r="N15" s="147">
        <v>46203</v>
      </c>
      <c r="O15" s="37" t="s">
        <v>320</v>
      </c>
      <c r="P15" s="37" t="s">
        <v>164</v>
      </c>
      <c r="Q15" s="38" t="b">
        <v>0</v>
      </c>
      <c r="R15" s="39" t="s">
        <v>91</v>
      </c>
      <c r="S15" s="27" t="s">
        <v>10</v>
      </c>
      <c r="T15" s="27"/>
      <c r="U15" s="27" t="str">
        <f>IF(TablaCore[[#This Row],[Fecha requerida]]="","N",IF(TablaCore[[#This Row],[Fecha requerida]]&lt;=DATE(2026,4,30),"S","N"))</f>
        <v>N</v>
      </c>
    </row>
    <row r="16" spans="2:21" ht="14.5">
      <c r="B16" s="11">
        <v>14</v>
      </c>
      <c r="C16" s="18" t="s">
        <v>10</v>
      </c>
      <c r="D16" s="11" t="s">
        <v>35</v>
      </c>
      <c r="E16" s="28" t="s">
        <v>346</v>
      </c>
      <c r="F16" s="13" t="s">
        <v>316</v>
      </c>
      <c r="G16" s="37" t="s">
        <v>317</v>
      </c>
      <c r="H16" s="13" t="s">
        <v>318</v>
      </c>
      <c r="I16" s="13" t="s">
        <v>347</v>
      </c>
      <c r="J16" s="37" t="s">
        <v>41</v>
      </c>
      <c r="K16" s="37" t="s">
        <v>59</v>
      </c>
      <c r="L16" s="148">
        <v>46203</v>
      </c>
      <c r="M16" s="148"/>
      <c r="N16" s="148">
        <v>46203</v>
      </c>
      <c r="O16" s="37" t="s">
        <v>320</v>
      </c>
      <c r="P16" s="37" t="s">
        <v>164</v>
      </c>
      <c r="Q16" s="38" t="b">
        <v>0</v>
      </c>
      <c r="R16" s="39" t="s">
        <v>91</v>
      </c>
      <c r="S16" s="27" t="s">
        <v>10</v>
      </c>
      <c r="T16" s="27"/>
      <c r="U16" s="27" t="str">
        <f>IF(TablaCore[[#This Row],[Fecha requerida]]="","N",IF(TablaCore[[#This Row],[Fecha requerida]]&lt;=DATE(2026,4,30),"S","N"))</f>
        <v>N</v>
      </c>
    </row>
    <row r="17" spans="2:21" ht="14.5">
      <c r="B17" s="11">
        <v>15</v>
      </c>
      <c r="C17" s="18" t="s">
        <v>10</v>
      </c>
      <c r="D17" s="11" t="s">
        <v>35</v>
      </c>
      <c r="E17" s="28" t="s">
        <v>348</v>
      </c>
      <c r="F17" s="13" t="s">
        <v>316</v>
      </c>
      <c r="G17" s="37" t="s">
        <v>317</v>
      </c>
      <c r="H17" s="13" t="s">
        <v>318</v>
      </c>
      <c r="I17" s="13" t="s">
        <v>349</v>
      </c>
      <c r="J17" s="37" t="s">
        <v>41</v>
      </c>
      <c r="K17" s="37" t="s">
        <v>59</v>
      </c>
      <c r="L17" s="148">
        <v>46203</v>
      </c>
      <c r="M17" s="148"/>
      <c r="N17" s="148">
        <v>46203</v>
      </c>
      <c r="O17" s="37" t="s">
        <v>320</v>
      </c>
      <c r="P17" s="37" t="s">
        <v>164</v>
      </c>
      <c r="Q17" s="38" t="b">
        <v>0</v>
      </c>
      <c r="R17" s="39" t="s">
        <v>91</v>
      </c>
      <c r="S17" s="27" t="s">
        <v>10</v>
      </c>
      <c r="T17" s="27"/>
      <c r="U17" s="27" t="str">
        <f>IF(TablaCore[[#This Row],[Fecha requerida]]="","N",IF(TablaCore[[#This Row],[Fecha requerida]]&lt;=DATE(2026,4,30),"S","N"))</f>
        <v>N</v>
      </c>
    </row>
    <row r="18" spans="2:21" ht="14.5">
      <c r="B18" s="11">
        <v>16</v>
      </c>
      <c r="C18" s="18" t="s">
        <v>10</v>
      </c>
      <c r="D18" s="11" t="s">
        <v>35</v>
      </c>
      <c r="E18" s="28" t="s">
        <v>350</v>
      </c>
      <c r="F18" s="13" t="s">
        <v>316</v>
      </c>
      <c r="G18" s="37" t="s">
        <v>317</v>
      </c>
      <c r="H18" s="13" t="s">
        <v>318</v>
      </c>
      <c r="I18" s="13" t="s">
        <v>351</v>
      </c>
      <c r="J18" s="37" t="s">
        <v>41</v>
      </c>
      <c r="K18" s="37" t="s">
        <v>59</v>
      </c>
      <c r="L18" s="147">
        <v>46203</v>
      </c>
      <c r="M18" s="147"/>
      <c r="N18" s="147">
        <v>46203</v>
      </c>
      <c r="O18" s="37" t="s">
        <v>320</v>
      </c>
      <c r="P18" s="37" t="s">
        <v>164</v>
      </c>
      <c r="Q18" s="38" t="b">
        <v>0</v>
      </c>
      <c r="R18" s="39" t="s">
        <v>91</v>
      </c>
      <c r="S18" s="27" t="s">
        <v>10</v>
      </c>
      <c r="T18" s="27"/>
      <c r="U18" s="27" t="str">
        <f>IF(TablaCore[[#This Row],[Fecha requerida]]="","N",IF(TablaCore[[#This Row],[Fecha requerida]]&lt;=DATE(2026,4,30),"S","N"))</f>
        <v>N</v>
      </c>
    </row>
    <row r="19" spans="2:21" ht="15" customHeight="1">
      <c r="B19" s="11">
        <v>17</v>
      </c>
      <c r="C19" s="18" t="s">
        <v>10</v>
      </c>
      <c r="D19" s="11" t="s">
        <v>35</v>
      </c>
      <c r="E19" s="28" t="s">
        <v>352</v>
      </c>
      <c r="F19" s="13" t="s">
        <v>316</v>
      </c>
      <c r="G19" s="37" t="s">
        <v>317</v>
      </c>
      <c r="H19" s="13" t="s">
        <v>318</v>
      </c>
      <c r="I19" s="13" t="s">
        <v>353</v>
      </c>
      <c r="J19" s="37" t="s">
        <v>41</v>
      </c>
      <c r="K19" s="37" t="s">
        <v>59</v>
      </c>
      <c r="L19" s="148">
        <v>46203</v>
      </c>
      <c r="M19" s="148"/>
      <c r="N19" s="148">
        <v>46203</v>
      </c>
      <c r="O19" s="37" t="s">
        <v>320</v>
      </c>
      <c r="P19" s="37" t="s">
        <v>164</v>
      </c>
      <c r="Q19" s="38" t="b">
        <v>0</v>
      </c>
      <c r="R19" s="39" t="s">
        <v>91</v>
      </c>
      <c r="S19" s="27" t="s">
        <v>10</v>
      </c>
      <c r="T19" s="27"/>
      <c r="U19" s="27" t="str">
        <f>IF(TablaCore[[#This Row],[Fecha requerida]]="","N",IF(TablaCore[[#This Row],[Fecha requerida]]&lt;=DATE(2026,4,30),"S","N"))</f>
        <v>N</v>
      </c>
    </row>
    <row r="20" spans="2:21" ht="15" customHeight="1">
      <c r="B20" s="11">
        <v>18</v>
      </c>
      <c r="C20" s="18" t="s">
        <v>10</v>
      </c>
      <c r="D20" s="11" t="s">
        <v>35</v>
      </c>
      <c r="E20" s="28" t="s">
        <v>354</v>
      </c>
      <c r="F20" s="13" t="s">
        <v>316</v>
      </c>
      <c r="G20" s="37" t="s">
        <v>317</v>
      </c>
      <c r="H20" s="13" t="s">
        <v>318</v>
      </c>
      <c r="I20" s="13" t="s">
        <v>355</v>
      </c>
      <c r="J20" s="37" t="s">
        <v>41</v>
      </c>
      <c r="K20" s="37" t="s">
        <v>59</v>
      </c>
      <c r="L20" s="147">
        <v>46203</v>
      </c>
      <c r="M20" s="147"/>
      <c r="N20" s="147">
        <v>46203</v>
      </c>
      <c r="O20" s="37" t="s">
        <v>320</v>
      </c>
      <c r="P20" s="37" t="s">
        <v>164</v>
      </c>
      <c r="Q20" s="38" t="b">
        <v>0</v>
      </c>
      <c r="R20" s="39" t="s">
        <v>91</v>
      </c>
      <c r="S20" s="27" t="s">
        <v>10</v>
      </c>
      <c r="T20" s="27"/>
      <c r="U20" s="27" t="str">
        <f>IF(TablaCore[[#This Row],[Fecha requerida]]="","N",IF(TablaCore[[#This Row],[Fecha requerida]]&lt;=DATE(2026,4,30),"S","N"))</f>
        <v>N</v>
      </c>
    </row>
    <row r="21" spans="2:21" ht="15" customHeight="1">
      <c r="B21" s="11">
        <v>19</v>
      </c>
      <c r="C21" s="18" t="s">
        <v>10</v>
      </c>
      <c r="D21" s="11" t="s">
        <v>35</v>
      </c>
      <c r="E21" s="28" t="s">
        <v>356</v>
      </c>
      <c r="F21" s="13" t="s">
        <v>316</v>
      </c>
      <c r="G21" s="37" t="s">
        <v>317</v>
      </c>
      <c r="H21" s="13" t="s">
        <v>318</v>
      </c>
      <c r="I21" s="13" t="s">
        <v>357</v>
      </c>
      <c r="J21" s="37" t="s">
        <v>41</v>
      </c>
      <c r="K21" s="37" t="s">
        <v>59</v>
      </c>
      <c r="L21" s="147">
        <v>46203</v>
      </c>
      <c r="M21" s="147"/>
      <c r="N21" s="147">
        <v>46203</v>
      </c>
      <c r="O21" s="37" t="s">
        <v>320</v>
      </c>
      <c r="P21" s="37" t="s">
        <v>164</v>
      </c>
      <c r="Q21" s="38" t="b">
        <v>0</v>
      </c>
      <c r="R21" s="39" t="s">
        <v>91</v>
      </c>
      <c r="S21" s="27" t="s">
        <v>10</v>
      </c>
      <c r="T21" s="27"/>
      <c r="U21" s="27" t="str">
        <f>IF(TablaCore[[#This Row],[Fecha requerida]]="","N",IF(TablaCore[[#This Row],[Fecha requerida]]&lt;=DATE(2026,4,30),"S","N"))</f>
        <v>N</v>
      </c>
    </row>
    <row r="22" spans="2:21" ht="15" customHeight="1">
      <c r="B22" s="11">
        <v>20</v>
      </c>
      <c r="C22" s="18" t="s">
        <v>10</v>
      </c>
      <c r="D22" s="11" t="s">
        <v>35</v>
      </c>
      <c r="E22" s="28" t="s">
        <v>358</v>
      </c>
      <c r="F22" s="13" t="s">
        <v>316</v>
      </c>
      <c r="G22" s="37" t="s">
        <v>317</v>
      </c>
      <c r="H22" s="13" t="s">
        <v>318</v>
      </c>
      <c r="I22" s="13" t="s">
        <v>359</v>
      </c>
      <c r="J22" s="37" t="s">
        <v>41</v>
      </c>
      <c r="K22" s="37" t="s">
        <v>59</v>
      </c>
      <c r="L22" s="148">
        <v>46172</v>
      </c>
      <c r="M22" s="148"/>
      <c r="N22" s="148">
        <v>46172</v>
      </c>
      <c r="O22" s="37" t="s">
        <v>320</v>
      </c>
      <c r="P22" s="37" t="s">
        <v>164</v>
      </c>
      <c r="Q22" s="38" t="b">
        <v>0</v>
      </c>
      <c r="R22" s="39" t="s">
        <v>91</v>
      </c>
      <c r="S22" s="27" t="s">
        <v>10</v>
      </c>
      <c r="T22" s="27"/>
      <c r="U22" s="27" t="str">
        <f>IF(TablaCore[[#This Row],[Fecha requerida]]="","N",IF(TablaCore[[#This Row],[Fecha requerida]]&lt;=DATE(2026,4,30),"S","N"))</f>
        <v>N</v>
      </c>
    </row>
    <row r="23" spans="2:21" ht="15" customHeight="1">
      <c r="B23" s="11">
        <v>21</v>
      </c>
      <c r="C23" s="18" t="s">
        <v>10</v>
      </c>
      <c r="D23" s="11" t="s">
        <v>35</v>
      </c>
      <c r="E23" s="28" t="s">
        <v>360</v>
      </c>
      <c r="F23" s="13" t="s">
        <v>316</v>
      </c>
      <c r="G23" s="37" t="s">
        <v>317</v>
      </c>
      <c r="H23" s="13" t="s">
        <v>318</v>
      </c>
      <c r="I23" s="13" t="s">
        <v>361</v>
      </c>
      <c r="J23" s="37" t="s">
        <v>41</v>
      </c>
      <c r="K23" s="37" t="s">
        <v>59</v>
      </c>
      <c r="L23" s="148">
        <v>46172</v>
      </c>
      <c r="M23" s="148"/>
      <c r="N23" s="148">
        <v>46172</v>
      </c>
      <c r="O23" s="37" t="s">
        <v>320</v>
      </c>
      <c r="P23" s="37" t="s">
        <v>164</v>
      </c>
      <c r="Q23" s="38" t="b">
        <v>0</v>
      </c>
      <c r="R23" s="39" t="s">
        <v>91</v>
      </c>
      <c r="S23" s="27" t="s">
        <v>10</v>
      </c>
      <c r="T23" s="27"/>
      <c r="U23" s="27" t="str">
        <f>IF(TablaCore[[#This Row],[Fecha requerida]]="","N",IF(TablaCore[[#This Row],[Fecha requerida]]&lt;=DATE(2026,4,30),"S","N"))</f>
        <v>N</v>
      </c>
    </row>
    <row r="24" spans="2:21" ht="15" customHeight="1">
      <c r="B24" s="11">
        <v>22</v>
      </c>
      <c r="C24" s="18" t="s">
        <v>10</v>
      </c>
      <c r="D24" s="11" t="s">
        <v>35</v>
      </c>
      <c r="E24" s="28" t="s">
        <v>362</v>
      </c>
      <c r="F24" s="13" t="s">
        <v>316</v>
      </c>
      <c r="G24" s="37" t="s">
        <v>317</v>
      </c>
      <c r="H24" s="13" t="s">
        <v>318</v>
      </c>
      <c r="I24" s="13" t="s">
        <v>363</v>
      </c>
      <c r="J24" s="37" t="s">
        <v>41</v>
      </c>
      <c r="K24" s="37" t="s">
        <v>59</v>
      </c>
      <c r="L24" s="148">
        <v>46172</v>
      </c>
      <c r="M24" s="148"/>
      <c r="N24" s="148">
        <v>46172</v>
      </c>
      <c r="O24" s="37" t="s">
        <v>320</v>
      </c>
      <c r="P24" s="37" t="s">
        <v>164</v>
      </c>
      <c r="Q24" s="38" t="b">
        <v>0</v>
      </c>
      <c r="R24" s="39" t="s">
        <v>91</v>
      </c>
      <c r="S24" s="27" t="s">
        <v>10</v>
      </c>
      <c r="T24" s="27"/>
      <c r="U24" s="27" t="str">
        <f>IF(TablaCore[[#This Row],[Fecha requerida]]="","N",IF(TablaCore[[#This Row],[Fecha requerida]]&lt;=DATE(2026,4,30),"S","N"))</f>
        <v>N</v>
      </c>
    </row>
    <row r="25" spans="2:21" ht="15" customHeight="1">
      <c r="B25" s="11">
        <v>23</v>
      </c>
      <c r="C25" s="18" t="s">
        <v>10</v>
      </c>
      <c r="D25" s="11" t="s">
        <v>35</v>
      </c>
      <c r="E25" s="28" t="s">
        <v>364</v>
      </c>
      <c r="F25" s="13" t="s">
        <v>316</v>
      </c>
      <c r="G25" s="37" t="s">
        <v>317</v>
      </c>
      <c r="H25" s="13" t="s">
        <v>318</v>
      </c>
      <c r="I25" s="13" t="s">
        <v>365</v>
      </c>
      <c r="J25" s="37" t="s">
        <v>41</v>
      </c>
      <c r="K25" s="37" t="s">
        <v>59</v>
      </c>
      <c r="L25" s="147">
        <v>46172</v>
      </c>
      <c r="M25" s="147"/>
      <c r="N25" s="147">
        <v>46172</v>
      </c>
      <c r="O25" s="37" t="s">
        <v>320</v>
      </c>
      <c r="P25" s="37" t="s">
        <v>164</v>
      </c>
      <c r="Q25" s="38" t="b">
        <v>0</v>
      </c>
      <c r="R25" s="39" t="s">
        <v>91</v>
      </c>
      <c r="S25" s="27" t="s">
        <v>10</v>
      </c>
      <c r="T25" s="27"/>
      <c r="U25" s="27" t="str">
        <f>IF(TablaCore[[#This Row],[Fecha requerida]]="","N",IF(TablaCore[[#This Row],[Fecha requerida]]&lt;=DATE(2026,4,30),"S","N"))</f>
        <v>N</v>
      </c>
    </row>
    <row r="26" spans="2:21" ht="15" customHeight="1">
      <c r="B26" s="11">
        <v>24</v>
      </c>
      <c r="C26" s="18" t="s">
        <v>10</v>
      </c>
      <c r="D26" s="11" t="s">
        <v>35</v>
      </c>
      <c r="E26" s="28" t="s">
        <v>366</v>
      </c>
      <c r="F26" s="13" t="s">
        <v>316</v>
      </c>
      <c r="G26" s="37" t="s">
        <v>317</v>
      </c>
      <c r="H26" s="13" t="s">
        <v>318</v>
      </c>
      <c r="I26" s="13" t="s">
        <v>367</v>
      </c>
      <c r="J26" s="37" t="s">
        <v>41</v>
      </c>
      <c r="K26" s="37" t="s">
        <v>59</v>
      </c>
      <c r="L26" s="147">
        <v>46264</v>
      </c>
      <c r="M26" s="147"/>
      <c r="N26" s="147">
        <v>46264</v>
      </c>
      <c r="O26" s="37" t="s">
        <v>320</v>
      </c>
      <c r="P26" s="37" t="s">
        <v>164</v>
      </c>
      <c r="Q26" s="38" t="b">
        <v>0</v>
      </c>
      <c r="R26" s="39" t="s">
        <v>91</v>
      </c>
      <c r="S26" s="27" t="s">
        <v>10</v>
      </c>
      <c r="T26" s="27"/>
      <c r="U26" s="27" t="str">
        <f>IF(TablaCore[[#This Row],[Fecha requerida]]="","N",IF(TablaCore[[#This Row],[Fecha requerida]]&lt;=DATE(2026,4,30),"S","N"))</f>
        <v>N</v>
      </c>
    </row>
    <row r="27" spans="2:21" ht="15" customHeight="1">
      <c r="B27" s="11">
        <v>25</v>
      </c>
      <c r="C27" s="18" t="s">
        <v>10</v>
      </c>
      <c r="D27" s="11" t="s">
        <v>35</v>
      </c>
      <c r="E27" s="28" t="s">
        <v>368</v>
      </c>
      <c r="F27" s="13" t="s">
        <v>316</v>
      </c>
      <c r="G27" s="37" t="s">
        <v>317</v>
      </c>
      <c r="H27" s="13" t="s">
        <v>318</v>
      </c>
      <c r="I27" s="13" t="s">
        <v>369</v>
      </c>
      <c r="J27" s="37" t="s">
        <v>41</v>
      </c>
      <c r="K27" s="37" t="s">
        <v>59</v>
      </c>
      <c r="L27" s="147">
        <v>46172</v>
      </c>
      <c r="M27" s="147"/>
      <c r="N27" s="147">
        <v>46172</v>
      </c>
      <c r="O27" s="37" t="s">
        <v>320</v>
      </c>
      <c r="P27" s="37" t="s">
        <v>164</v>
      </c>
      <c r="Q27" s="38" t="b">
        <v>0</v>
      </c>
      <c r="R27" s="39" t="s">
        <v>91</v>
      </c>
      <c r="S27" s="27" t="s">
        <v>10</v>
      </c>
      <c r="T27" s="27"/>
      <c r="U27" s="27" t="str">
        <f>IF(TablaCore[[#This Row],[Fecha requerida]]="","N",IF(TablaCore[[#This Row],[Fecha requerida]]&lt;=DATE(2026,4,30),"S","N"))</f>
        <v>N</v>
      </c>
    </row>
    <row r="28" spans="2:21" ht="15" customHeight="1">
      <c r="B28" s="11">
        <v>26</v>
      </c>
      <c r="C28" s="18" t="s">
        <v>10</v>
      </c>
      <c r="D28" s="11" t="s">
        <v>35</v>
      </c>
      <c r="E28" s="28" t="s">
        <v>370</v>
      </c>
      <c r="F28" s="13" t="s">
        <v>316</v>
      </c>
      <c r="G28" s="37" t="s">
        <v>317</v>
      </c>
      <c r="H28" s="13" t="s">
        <v>318</v>
      </c>
      <c r="I28" s="13" t="s">
        <v>371</v>
      </c>
      <c r="J28" s="37" t="s">
        <v>41</v>
      </c>
      <c r="K28" s="37" t="s">
        <v>59</v>
      </c>
      <c r="L28" s="148">
        <v>46172</v>
      </c>
      <c r="M28" s="148"/>
      <c r="N28" s="148">
        <v>46172</v>
      </c>
      <c r="O28" s="37" t="s">
        <v>320</v>
      </c>
      <c r="P28" s="37" t="s">
        <v>164</v>
      </c>
      <c r="Q28" s="38" t="b">
        <v>0</v>
      </c>
      <c r="R28" s="39" t="s">
        <v>91</v>
      </c>
      <c r="S28" s="27" t="s">
        <v>10</v>
      </c>
      <c r="T28" s="27"/>
      <c r="U28" s="27" t="str">
        <f>IF(TablaCore[[#This Row],[Fecha requerida]]="","N",IF(TablaCore[[#This Row],[Fecha requerida]]&lt;=DATE(2026,4,30),"S","N"))</f>
        <v>N</v>
      </c>
    </row>
    <row r="29" spans="2:21" ht="15" customHeight="1">
      <c r="B29" s="11">
        <v>27</v>
      </c>
      <c r="C29" s="18" t="s">
        <v>10</v>
      </c>
      <c r="D29" s="11" t="s">
        <v>35</v>
      </c>
      <c r="E29" s="28" t="s">
        <v>372</v>
      </c>
      <c r="F29" s="13" t="s">
        <v>316</v>
      </c>
      <c r="G29" s="37" t="s">
        <v>317</v>
      </c>
      <c r="H29" s="13" t="s">
        <v>318</v>
      </c>
      <c r="I29" s="13" t="s">
        <v>373</v>
      </c>
      <c r="J29" s="37" t="s">
        <v>41</v>
      </c>
      <c r="K29" s="37" t="s">
        <v>59</v>
      </c>
      <c r="L29" s="147">
        <v>46172</v>
      </c>
      <c r="M29" s="147"/>
      <c r="N29" s="147">
        <v>46172</v>
      </c>
      <c r="O29" s="37" t="s">
        <v>320</v>
      </c>
      <c r="P29" s="37" t="s">
        <v>164</v>
      </c>
      <c r="Q29" s="38" t="b">
        <v>0</v>
      </c>
      <c r="R29" s="39" t="s">
        <v>91</v>
      </c>
      <c r="S29" s="27" t="s">
        <v>10</v>
      </c>
      <c r="T29" s="27"/>
      <c r="U29" s="27" t="str">
        <f>IF(TablaCore[[#This Row],[Fecha requerida]]="","N",IF(TablaCore[[#This Row],[Fecha requerida]]&lt;=DATE(2026,4,30),"S","N"))</f>
        <v>N</v>
      </c>
    </row>
    <row r="30" spans="2:21" ht="15" customHeight="1">
      <c r="B30" s="11">
        <v>28</v>
      </c>
      <c r="C30" s="18" t="s">
        <v>10</v>
      </c>
      <c r="D30" s="11" t="s">
        <v>35</v>
      </c>
      <c r="E30" s="28" t="s">
        <v>374</v>
      </c>
      <c r="F30" s="13" t="s">
        <v>316</v>
      </c>
      <c r="G30" s="37" t="s">
        <v>317</v>
      </c>
      <c r="H30" s="13" t="s">
        <v>318</v>
      </c>
      <c r="I30" s="13" t="s">
        <v>375</v>
      </c>
      <c r="J30" s="37" t="s">
        <v>41</v>
      </c>
      <c r="K30" s="37" t="s">
        <v>59</v>
      </c>
      <c r="L30" s="147">
        <v>46172</v>
      </c>
      <c r="M30" s="147"/>
      <c r="N30" s="147">
        <v>46172</v>
      </c>
      <c r="O30" s="37" t="s">
        <v>320</v>
      </c>
      <c r="P30" s="37" t="s">
        <v>164</v>
      </c>
      <c r="Q30" s="38" t="b">
        <v>0</v>
      </c>
      <c r="R30" s="39" t="s">
        <v>91</v>
      </c>
      <c r="S30" s="27" t="s">
        <v>10</v>
      </c>
      <c r="T30" s="27"/>
      <c r="U30" s="27" t="str">
        <f>IF(TablaCore[[#This Row],[Fecha requerida]]="","N",IF(TablaCore[[#This Row],[Fecha requerida]]&lt;=DATE(2026,4,30),"S","N"))</f>
        <v>N</v>
      </c>
    </row>
    <row r="31" spans="2:21" ht="15" customHeight="1">
      <c r="B31" s="11">
        <v>29</v>
      </c>
      <c r="C31" s="18" t="s">
        <v>10</v>
      </c>
      <c r="D31" s="11" t="s">
        <v>35</v>
      </c>
      <c r="E31" s="28" t="s">
        <v>376</v>
      </c>
      <c r="F31" s="13" t="s">
        <v>316</v>
      </c>
      <c r="G31" s="37" t="s">
        <v>317</v>
      </c>
      <c r="H31" s="13" t="s">
        <v>318</v>
      </c>
      <c r="I31" s="13" t="s">
        <v>377</v>
      </c>
      <c r="J31" s="37" t="s">
        <v>41</v>
      </c>
      <c r="K31" s="37" t="s">
        <v>59</v>
      </c>
      <c r="L31" s="147">
        <v>46172</v>
      </c>
      <c r="M31" s="147"/>
      <c r="N31" s="147">
        <v>46172</v>
      </c>
      <c r="O31" s="37" t="s">
        <v>320</v>
      </c>
      <c r="P31" s="37" t="s">
        <v>164</v>
      </c>
      <c r="Q31" s="38" t="b">
        <v>0</v>
      </c>
      <c r="R31" s="39" t="s">
        <v>91</v>
      </c>
      <c r="S31" s="27" t="s">
        <v>10</v>
      </c>
      <c r="T31" s="27"/>
      <c r="U31" s="27" t="str">
        <f>IF(TablaCore[[#This Row],[Fecha requerida]]="","N",IF(TablaCore[[#This Row],[Fecha requerida]]&lt;=DATE(2026,4,30),"S","N"))</f>
        <v>N</v>
      </c>
    </row>
    <row r="32" spans="2:21" ht="15" customHeight="1">
      <c r="B32" s="11">
        <v>30</v>
      </c>
      <c r="C32" s="18" t="s">
        <v>10</v>
      </c>
      <c r="D32" s="11" t="s">
        <v>35</v>
      </c>
      <c r="E32" s="28" t="s">
        <v>378</v>
      </c>
      <c r="F32" s="13" t="s">
        <v>316</v>
      </c>
      <c r="G32" s="37" t="s">
        <v>317</v>
      </c>
      <c r="H32" s="13" t="s">
        <v>318</v>
      </c>
      <c r="I32" s="13" t="s">
        <v>379</v>
      </c>
      <c r="J32" s="37" t="s">
        <v>41</v>
      </c>
      <c r="K32" s="37" t="s">
        <v>59</v>
      </c>
      <c r="L32" s="148">
        <v>46172</v>
      </c>
      <c r="M32" s="148"/>
      <c r="N32" s="148">
        <v>46172</v>
      </c>
      <c r="O32" s="37" t="s">
        <v>320</v>
      </c>
      <c r="P32" s="37" t="s">
        <v>164</v>
      </c>
      <c r="Q32" s="60" t="b">
        <v>0</v>
      </c>
      <c r="R32" s="39" t="s">
        <v>91</v>
      </c>
      <c r="S32" s="27" t="s">
        <v>10</v>
      </c>
      <c r="T32" s="27"/>
      <c r="U32" s="27" t="str">
        <f>IF(TablaCore[[#This Row],[Fecha requerida]]="","N",IF(TablaCore[[#This Row],[Fecha requerida]]&lt;=DATE(2026,4,30),"S","N"))</f>
        <v>N</v>
      </c>
    </row>
    <row r="33" spans="2:21" ht="15" customHeight="1">
      <c r="B33" s="11">
        <v>31</v>
      </c>
      <c r="C33" s="18" t="s">
        <v>10</v>
      </c>
      <c r="D33" s="11" t="s">
        <v>35</v>
      </c>
      <c r="E33" s="28" t="s">
        <v>380</v>
      </c>
      <c r="F33" s="13" t="s">
        <v>316</v>
      </c>
      <c r="G33" s="37" t="s">
        <v>317</v>
      </c>
      <c r="H33" s="13" t="s">
        <v>318</v>
      </c>
      <c r="I33" s="13" t="s">
        <v>381</v>
      </c>
      <c r="J33" s="13" t="s">
        <v>267</v>
      </c>
      <c r="K33" s="37" t="s">
        <v>59</v>
      </c>
      <c r="L33" s="148">
        <v>46172</v>
      </c>
      <c r="M33" s="148"/>
      <c r="N33" s="148">
        <v>46172</v>
      </c>
      <c r="O33" s="37" t="s">
        <v>320</v>
      </c>
      <c r="P33" s="37" t="s">
        <v>164</v>
      </c>
      <c r="Q33" s="38" t="b">
        <v>0</v>
      </c>
      <c r="R33" s="39" t="s">
        <v>91</v>
      </c>
      <c r="S33" s="27" t="s">
        <v>10</v>
      </c>
      <c r="T33" s="27"/>
      <c r="U33" s="27" t="str">
        <f>IF(TablaCore[[#This Row],[Fecha requerida]]="","N",IF(TablaCore[[#This Row],[Fecha requerida]]&lt;=DATE(2026,4,30),"S","N"))</f>
        <v>N</v>
      </c>
    </row>
    <row r="34" spans="2:21" ht="15" customHeight="1">
      <c r="B34" s="11">
        <v>32</v>
      </c>
      <c r="C34" s="115" t="s">
        <v>10</v>
      </c>
      <c r="D34" s="11" t="s">
        <v>35</v>
      </c>
      <c r="E34" s="28" t="s">
        <v>382</v>
      </c>
      <c r="F34" s="13" t="s">
        <v>316</v>
      </c>
      <c r="G34" s="37" t="s">
        <v>317</v>
      </c>
      <c r="H34" s="13" t="s">
        <v>318</v>
      </c>
      <c r="I34" s="13" t="s">
        <v>383</v>
      </c>
      <c r="J34" s="13" t="s">
        <v>41</v>
      </c>
      <c r="K34" s="37" t="s">
        <v>59</v>
      </c>
      <c r="L34" s="148">
        <v>46203</v>
      </c>
      <c r="M34" s="148"/>
      <c r="N34" s="148">
        <v>46203</v>
      </c>
      <c r="O34" s="37" t="s">
        <v>320</v>
      </c>
      <c r="P34" s="37" t="s">
        <v>164</v>
      </c>
      <c r="Q34" s="60" t="b">
        <v>0</v>
      </c>
      <c r="R34" s="39" t="s">
        <v>91</v>
      </c>
      <c r="S34" s="27" t="s">
        <v>10</v>
      </c>
      <c r="T34" s="27"/>
      <c r="U34" s="27" t="str">
        <f>IF(TablaCore[[#This Row],[Fecha requerida]]="","N",IF(TablaCore[[#This Row],[Fecha requerida]]&lt;=DATE(2026,4,30),"S","N"))</f>
        <v>N</v>
      </c>
    </row>
    <row r="35" spans="2:21" ht="15" customHeight="1">
      <c r="B35" s="11">
        <v>33</v>
      </c>
      <c r="C35" s="115" t="s">
        <v>10</v>
      </c>
      <c r="D35" s="11" t="s">
        <v>35</v>
      </c>
      <c r="E35" s="28" t="s">
        <v>384</v>
      </c>
      <c r="F35" s="13" t="s">
        <v>316</v>
      </c>
      <c r="G35" s="37" t="s">
        <v>317</v>
      </c>
      <c r="H35" s="13" t="s">
        <v>318</v>
      </c>
      <c r="I35" s="36" t="s">
        <v>385</v>
      </c>
      <c r="J35" s="13" t="s">
        <v>41</v>
      </c>
      <c r="K35" s="37" t="s">
        <v>59</v>
      </c>
      <c r="L35" s="148">
        <v>46203</v>
      </c>
      <c r="M35" s="148"/>
      <c r="N35" s="148">
        <v>46203</v>
      </c>
      <c r="O35" s="37" t="s">
        <v>320</v>
      </c>
      <c r="P35" s="37" t="s">
        <v>164</v>
      </c>
      <c r="Q35" s="60" t="b">
        <v>0</v>
      </c>
      <c r="R35" s="39" t="s">
        <v>91</v>
      </c>
      <c r="S35" s="27" t="s">
        <v>10</v>
      </c>
      <c r="T35" s="27"/>
      <c r="U35" s="27" t="str">
        <f>IF(TablaCore[[#This Row],[Fecha requerida]]="","N",IF(TablaCore[[#This Row],[Fecha requerida]]&lt;=DATE(2026,4,30),"S","N"))</f>
        <v>N</v>
      </c>
    </row>
    <row r="36" spans="2:21" ht="15" customHeight="1">
      <c r="B36" s="11">
        <v>34</v>
      </c>
      <c r="C36" s="115" t="s">
        <v>10</v>
      </c>
      <c r="D36" s="11" t="s">
        <v>35</v>
      </c>
      <c r="E36" s="28" t="s">
        <v>386</v>
      </c>
      <c r="F36" s="13" t="s">
        <v>316</v>
      </c>
      <c r="G36" s="37" t="s">
        <v>317</v>
      </c>
      <c r="H36" s="13" t="s">
        <v>318</v>
      </c>
      <c r="I36" s="36" t="s">
        <v>387</v>
      </c>
      <c r="J36" s="13" t="s">
        <v>267</v>
      </c>
      <c r="K36" s="37" t="s">
        <v>59</v>
      </c>
      <c r="L36" s="148">
        <v>46203</v>
      </c>
      <c r="M36" s="148"/>
      <c r="N36" s="148">
        <v>46203</v>
      </c>
      <c r="O36" s="37" t="s">
        <v>320</v>
      </c>
      <c r="P36" s="37" t="s">
        <v>164</v>
      </c>
      <c r="Q36" s="60" t="b">
        <v>0</v>
      </c>
      <c r="R36" s="39" t="s">
        <v>91</v>
      </c>
      <c r="S36" s="27" t="s">
        <v>10</v>
      </c>
      <c r="T36" s="27"/>
      <c r="U36" s="27" t="str">
        <f>IF(TablaCore[[#This Row],[Fecha requerida]]="","N",IF(TablaCore[[#This Row],[Fecha requerida]]&lt;=DATE(2026,4,30),"S","N"))</f>
        <v>N</v>
      </c>
    </row>
    <row r="37" spans="2:21" ht="15" customHeight="1">
      <c r="B37" s="11">
        <v>35</v>
      </c>
      <c r="C37" s="115" t="s">
        <v>10</v>
      </c>
      <c r="D37" s="11" t="s">
        <v>35</v>
      </c>
      <c r="E37" s="28" t="s">
        <v>388</v>
      </c>
      <c r="F37" s="13" t="s">
        <v>316</v>
      </c>
      <c r="G37" s="37" t="s">
        <v>317</v>
      </c>
      <c r="H37" s="13" t="s">
        <v>318</v>
      </c>
      <c r="I37" s="36" t="s">
        <v>389</v>
      </c>
      <c r="J37" s="13" t="s">
        <v>41</v>
      </c>
      <c r="K37" s="37" t="s">
        <v>59</v>
      </c>
      <c r="L37" s="148">
        <v>46203</v>
      </c>
      <c r="M37" s="148"/>
      <c r="N37" s="148">
        <v>46203</v>
      </c>
      <c r="O37" s="37" t="s">
        <v>320</v>
      </c>
      <c r="P37" s="37" t="s">
        <v>164</v>
      </c>
      <c r="Q37" s="38" t="b">
        <v>0</v>
      </c>
      <c r="R37" s="39" t="s">
        <v>91</v>
      </c>
      <c r="S37" s="27" t="s">
        <v>10</v>
      </c>
      <c r="T37" s="27"/>
      <c r="U37" s="27" t="str">
        <f>IF(TablaCore[[#This Row],[Fecha requerida]]="","N",IF(TablaCore[[#This Row],[Fecha requerida]]&lt;=DATE(2026,4,30),"S","N"))</f>
        <v>N</v>
      </c>
    </row>
    <row r="38" spans="2:21" ht="15" customHeight="1">
      <c r="B38" s="11">
        <v>36</v>
      </c>
      <c r="C38" s="115" t="s">
        <v>10</v>
      </c>
      <c r="D38" s="11" t="s">
        <v>35</v>
      </c>
      <c r="E38" s="28" t="s">
        <v>390</v>
      </c>
      <c r="F38" s="13" t="s">
        <v>316</v>
      </c>
      <c r="G38" s="37" t="s">
        <v>317</v>
      </c>
      <c r="H38" s="13" t="s">
        <v>318</v>
      </c>
      <c r="I38" s="36" t="s">
        <v>391</v>
      </c>
      <c r="J38" s="13" t="s">
        <v>41</v>
      </c>
      <c r="K38" s="37" t="s">
        <v>59</v>
      </c>
      <c r="L38" s="148">
        <v>46203</v>
      </c>
      <c r="M38" s="148"/>
      <c r="N38" s="148">
        <v>46203</v>
      </c>
      <c r="O38" s="37" t="s">
        <v>320</v>
      </c>
      <c r="P38" s="37" t="s">
        <v>164</v>
      </c>
      <c r="Q38" s="38" t="b">
        <v>0</v>
      </c>
      <c r="R38" s="39" t="s">
        <v>91</v>
      </c>
      <c r="S38" s="27" t="s">
        <v>10</v>
      </c>
      <c r="T38" s="27"/>
      <c r="U38" s="27" t="str">
        <f>IF(TablaCore[[#This Row],[Fecha requerida]]="","N",IF(TablaCore[[#This Row],[Fecha requerida]]&lt;=DATE(2026,4,30),"S","N"))</f>
        <v>N</v>
      </c>
    </row>
    <row r="39" spans="2:21" ht="15" customHeight="1">
      <c r="B39" s="11">
        <v>37</v>
      </c>
      <c r="C39" s="115" t="s">
        <v>10</v>
      </c>
      <c r="D39" s="11" t="s">
        <v>35</v>
      </c>
      <c r="E39" s="28" t="s">
        <v>392</v>
      </c>
      <c r="F39" s="13" t="s">
        <v>316</v>
      </c>
      <c r="G39" s="37" t="s">
        <v>317</v>
      </c>
      <c r="H39" s="13" t="s">
        <v>318</v>
      </c>
      <c r="I39" s="36" t="s">
        <v>393</v>
      </c>
      <c r="J39" s="13" t="s">
        <v>41</v>
      </c>
      <c r="K39" s="37" t="s">
        <v>59</v>
      </c>
      <c r="L39" s="148">
        <v>46203</v>
      </c>
      <c r="M39" s="148"/>
      <c r="N39" s="148">
        <v>46203</v>
      </c>
      <c r="O39" s="37" t="s">
        <v>320</v>
      </c>
      <c r="P39" s="37" t="s">
        <v>164</v>
      </c>
      <c r="Q39" s="38" t="b">
        <v>0</v>
      </c>
      <c r="R39" s="39" t="s">
        <v>91</v>
      </c>
      <c r="S39" s="27" t="s">
        <v>10</v>
      </c>
      <c r="T39" s="27"/>
      <c r="U39" s="27" t="str">
        <f>IF(TablaCore[[#This Row],[Fecha requerida]]="","N",IF(TablaCore[[#This Row],[Fecha requerida]]&lt;=DATE(2026,4,30),"S","N"))</f>
        <v>N</v>
      </c>
    </row>
    <row r="40" spans="2:21" ht="15" customHeight="1">
      <c r="B40" s="11">
        <v>38</v>
      </c>
      <c r="C40" s="115" t="s">
        <v>10</v>
      </c>
      <c r="D40" s="11" t="s">
        <v>35</v>
      </c>
      <c r="E40" s="28" t="s">
        <v>394</v>
      </c>
      <c r="F40" s="13" t="s">
        <v>316</v>
      </c>
      <c r="G40" s="37" t="s">
        <v>317</v>
      </c>
      <c r="H40" s="13" t="s">
        <v>318</v>
      </c>
      <c r="I40" s="142" t="s">
        <v>395</v>
      </c>
      <c r="J40" s="13" t="s">
        <v>41</v>
      </c>
      <c r="K40" s="37" t="s">
        <v>59</v>
      </c>
      <c r="L40" s="148">
        <v>46203</v>
      </c>
      <c r="M40" s="148"/>
      <c r="N40" s="148">
        <v>46203</v>
      </c>
      <c r="O40" s="37" t="s">
        <v>320</v>
      </c>
      <c r="P40" s="37" t="s">
        <v>164</v>
      </c>
      <c r="Q40" s="60" t="b">
        <v>0</v>
      </c>
      <c r="R40" s="39" t="s">
        <v>91</v>
      </c>
      <c r="S40" s="27" t="s">
        <v>10</v>
      </c>
      <c r="T40" s="27"/>
      <c r="U40" s="27" t="str">
        <f>IF(TablaCore[[#This Row],[Fecha requerida]]="","N",IF(TablaCore[[#This Row],[Fecha requerida]]&lt;=DATE(2026,4,30),"S","N"))</f>
        <v>N</v>
      </c>
    </row>
    <row r="41" spans="2:21" ht="15" customHeight="1">
      <c r="B41" s="11">
        <v>39</v>
      </c>
      <c r="C41" s="115" t="s">
        <v>10</v>
      </c>
      <c r="D41" s="11" t="s">
        <v>35</v>
      </c>
      <c r="E41" s="28" t="s">
        <v>396</v>
      </c>
      <c r="F41" s="13" t="s">
        <v>316</v>
      </c>
      <c r="G41" s="37" t="s">
        <v>317</v>
      </c>
      <c r="H41" s="13" t="s">
        <v>318</v>
      </c>
      <c r="I41" s="36" t="s">
        <v>397</v>
      </c>
      <c r="J41" s="13" t="s">
        <v>41</v>
      </c>
      <c r="K41" s="37" t="s">
        <v>59</v>
      </c>
      <c r="L41" s="148">
        <v>46203</v>
      </c>
      <c r="M41" s="148"/>
      <c r="N41" s="148">
        <v>46203</v>
      </c>
      <c r="O41" s="37" t="s">
        <v>320</v>
      </c>
      <c r="P41" s="37" t="s">
        <v>164</v>
      </c>
      <c r="Q41" s="60" t="b">
        <v>0</v>
      </c>
      <c r="R41" s="39" t="s">
        <v>91</v>
      </c>
      <c r="S41" s="27" t="s">
        <v>10</v>
      </c>
      <c r="T41" s="27"/>
      <c r="U41" s="27" t="str">
        <f>IF(TablaCore[[#This Row],[Fecha requerida]]="","N",IF(TablaCore[[#This Row],[Fecha requerida]]&lt;=DATE(2026,4,30),"S","N"))</f>
        <v>N</v>
      </c>
    </row>
    <row r="42" spans="2:21" ht="15" customHeight="1">
      <c r="B42" s="11">
        <v>40</v>
      </c>
      <c r="C42" s="115" t="s">
        <v>10</v>
      </c>
      <c r="D42" s="11" t="s">
        <v>35</v>
      </c>
      <c r="E42" s="13" t="s">
        <v>398</v>
      </c>
      <c r="F42" s="13" t="s">
        <v>316</v>
      </c>
      <c r="G42" s="37" t="s">
        <v>317</v>
      </c>
      <c r="H42" s="13" t="s">
        <v>318</v>
      </c>
      <c r="I42" s="143" t="s">
        <v>399</v>
      </c>
      <c r="J42" s="13" t="s">
        <v>41</v>
      </c>
      <c r="K42" s="37" t="s">
        <v>59</v>
      </c>
      <c r="L42" s="149">
        <v>46172</v>
      </c>
      <c r="M42" s="149"/>
      <c r="N42" s="149">
        <v>46172</v>
      </c>
      <c r="O42" s="37" t="s">
        <v>320</v>
      </c>
      <c r="P42" s="37" t="s">
        <v>164</v>
      </c>
      <c r="Q42" s="38" t="b">
        <v>0</v>
      </c>
      <c r="R42" s="39" t="s">
        <v>91</v>
      </c>
      <c r="S42" s="27" t="s">
        <v>10</v>
      </c>
      <c r="T42" s="27"/>
      <c r="U42" s="27" t="str">
        <f>IF(TablaCore[[#This Row],[Fecha requerida]]="","N",IF(TablaCore[[#This Row],[Fecha requerida]]&lt;=DATE(2026,4,30),"S","N"))</f>
        <v>N</v>
      </c>
    </row>
    <row r="43" spans="2:21" ht="15" customHeight="1">
      <c r="B43" s="11">
        <v>41</v>
      </c>
      <c r="C43" s="115" t="s">
        <v>10</v>
      </c>
      <c r="D43" s="11" t="s">
        <v>35</v>
      </c>
      <c r="E43" s="28" t="s">
        <v>400</v>
      </c>
      <c r="F43" s="13" t="s">
        <v>316</v>
      </c>
      <c r="G43" s="37" t="s">
        <v>317</v>
      </c>
      <c r="H43" s="13" t="s">
        <v>318</v>
      </c>
      <c r="I43" s="144" t="s">
        <v>401</v>
      </c>
      <c r="J43" s="13" t="s">
        <v>267</v>
      </c>
      <c r="K43" s="37" t="s">
        <v>59</v>
      </c>
      <c r="L43" s="149">
        <v>46172</v>
      </c>
      <c r="M43" s="149"/>
      <c r="N43" s="149">
        <v>46172</v>
      </c>
      <c r="O43" s="37" t="s">
        <v>320</v>
      </c>
      <c r="P43" s="37" t="s">
        <v>164</v>
      </c>
      <c r="Q43" s="38" t="b">
        <v>0</v>
      </c>
      <c r="R43" s="39" t="s">
        <v>91</v>
      </c>
      <c r="S43" s="27" t="s">
        <v>10</v>
      </c>
      <c r="T43" s="27"/>
      <c r="U43" s="27" t="str">
        <f>IF(TablaCore[[#This Row],[Fecha requerida]]="","N",IF(TablaCore[[#This Row],[Fecha requerida]]&lt;=DATE(2026,4,30),"S","N"))</f>
        <v>N</v>
      </c>
    </row>
    <row r="44" spans="2:21" ht="15" customHeight="1">
      <c r="B44" s="11">
        <v>42</v>
      </c>
      <c r="C44" s="115" t="s">
        <v>10</v>
      </c>
      <c r="D44" s="11" t="s">
        <v>35</v>
      </c>
      <c r="E44" s="28" t="s">
        <v>402</v>
      </c>
      <c r="F44" s="13" t="s">
        <v>316</v>
      </c>
      <c r="G44" s="37" t="s">
        <v>317</v>
      </c>
      <c r="H44" s="13" t="s">
        <v>318</v>
      </c>
      <c r="I44" s="144" t="s">
        <v>403</v>
      </c>
      <c r="J44" s="13" t="s">
        <v>267</v>
      </c>
      <c r="K44" s="37" t="s">
        <v>59</v>
      </c>
      <c r="L44" s="149">
        <v>46172</v>
      </c>
      <c r="M44" s="149"/>
      <c r="N44" s="149">
        <v>46172</v>
      </c>
      <c r="O44" s="37" t="s">
        <v>320</v>
      </c>
      <c r="P44" s="37" t="s">
        <v>164</v>
      </c>
      <c r="Q44" s="38" t="b">
        <v>0</v>
      </c>
      <c r="R44" s="39" t="s">
        <v>91</v>
      </c>
      <c r="S44" s="27" t="s">
        <v>10</v>
      </c>
      <c r="T44" s="27"/>
      <c r="U44" s="27" t="str">
        <f>IF(TablaCore[[#This Row],[Fecha requerida]]="","N",IF(TablaCore[[#This Row],[Fecha requerida]]&lt;=DATE(2026,4,30),"S","N"))</f>
        <v>N</v>
      </c>
    </row>
    <row r="45" spans="2:21" ht="15" customHeight="1">
      <c r="B45" s="11">
        <v>43</v>
      </c>
      <c r="C45" s="115" t="s">
        <v>10</v>
      </c>
      <c r="D45" s="11" t="s">
        <v>35</v>
      </c>
      <c r="E45" s="28" t="s">
        <v>404</v>
      </c>
      <c r="F45" s="13" t="s">
        <v>316</v>
      </c>
      <c r="G45" s="37" t="s">
        <v>317</v>
      </c>
      <c r="H45" s="13" t="s">
        <v>318</v>
      </c>
      <c r="I45" s="144" t="s">
        <v>405</v>
      </c>
      <c r="J45" s="13" t="s">
        <v>267</v>
      </c>
      <c r="K45" s="37" t="s">
        <v>59</v>
      </c>
      <c r="L45" s="149">
        <v>46172</v>
      </c>
      <c r="M45" s="149"/>
      <c r="N45" s="149">
        <v>46172</v>
      </c>
      <c r="O45" s="37" t="s">
        <v>320</v>
      </c>
      <c r="P45" s="37" t="s">
        <v>164</v>
      </c>
      <c r="Q45" s="38" t="b">
        <v>0</v>
      </c>
      <c r="R45" s="39" t="s">
        <v>91</v>
      </c>
      <c r="S45" s="27" t="s">
        <v>10</v>
      </c>
      <c r="T45" s="27"/>
      <c r="U45" s="27" t="str">
        <f>IF(TablaCore[[#This Row],[Fecha requerida]]="","N",IF(TablaCore[[#This Row],[Fecha requerida]]&lt;=DATE(2026,4,30),"S","N"))</f>
        <v>N</v>
      </c>
    </row>
    <row r="46" spans="2:21" ht="15" customHeight="1">
      <c r="B46" s="11">
        <v>44</v>
      </c>
      <c r="C46" s="115" t="s">
        <v>10</v>
      </c>
      <c r="D46" s="11" t="s">
        <v>35</v>
      </c>
      <c r="E46" s="28" t="s">
        <v>406</v>
      </c>
      <c r="F46" s="13" t="s">
        <v>316</v>
      </c>
      <c r="G46" s="37" t="s">
        <v>317</v>
      </c>
      <c r="H46" s="13" t="s">
        <v>318</v>
      </c>
      <c r="I46" s="144" t="s">
        <v>407</v>
      </c>
      <c r="J46" s="13" t="s">
        <v>267</v>
      </c>
      <c r="K46" s="37" t="s">
        <v>59</v>
      </c>
      <c r="L46" s="149">
        <v>46172</v>
      </c>
      <c r="M46" s="149"/>
      <c r="N46" s="149">
        <v>46172</v>
      </c>
      <c r="O46" s="37" t="s">
        <v>320</v>
      </c>
      <c r="P46" s="37" t="s">
        <v>164</v>
      </c>
      <c r="Q46" s="38" t="b">
        <v>0</v>
      </c>
      <c r="R46" s="39" t="s">
        <v>91</v>
      </c>
      <c r="S46" s="27" t="s">
        <v>10</v>
      </c>
      <c r="T46" s="27"/>
      <c r="U46" s="27" t="str">
        <f>IF(TablaCore[[#This Row],[Fecha requerida]]="","N",IF(TablaCore[[#This Row],[Fecha requerida]]&lt;=DATE(2026,4,30),"S","N"))</f>
        <v>N</v>
      </c>
    </row>
    <row r="47" spans="2:21" ht="15" customHeight="1">
      <c r="B47" s="11">
        <v>45</v>
      </c>
      <c r="C47" s="115" t="s">
        <v>10</v>
      </c>
      <c r="D47" s="11" t="s">
        <v>35</v>
      </c>
      <c r="E47" s="28" t="s">
        <v>408</v>
      </c>
      <c r="F47" s="13" t="s">
        <v>316</v>
      </c>
      <c r="G47" s="37" t="s">
        <v>317</v>
      </c>
      <c r="H47" s="13" t="s">
        <v>318</v>
      </c>
      <c r="I47" s="144" t="s">
        <v>409</v>
      </c>
      <c r="J47" s="13" t="s">
        <v>267</v>
      </c>
      <c r="K47" s="37" t="s">
        <v>59</v>
      </c>
      <c r="L47" s="149">
        <v>46172</v>
      </c>
      <c r="M47" s="149"/>
      <c r="N47" s="149">
        <v>46172</v>
      </c>
      <c r="O47" s="37" t="s">
        <v>320</v>
      </c>
      <c r="P47" s="37" t="s">
        <v>164</v>
      </c>
      <c r="Q47" s="38" t="b">
        <v>0</v>
      </c>
      <c r="R47" s="39" t="s">
        <v>91</v>
      </c>
      <c r="S47" s="27" t="s">
        <v>10</v>
      </c>
      <c r="T47" s="27"/>
      <c r="U47" s="27" t="str">
        <f>IF(TablaCore[[#This Row],[Fecha requerida]]="","N",IF(TablaCore[[#This Row],[Fecha requerida]]&lt;=DATE(2026,4,30),"S","N"))</f>
        <v>N</v>
      </c>
    </row>
    <row r="48" spans="2:21" ht="15" customHeight="1">
      <c r="B48" s="11">
        <v>46</v>
      </c>
      <c r="C48" s="115" t="s">
        <v>10</v>
      </c>
      <c r="D48" s="11" t="s">
        <v>35</v>
      </c>
      <c r="E48" s="28" t="s">
        <v>410</v>
      </c>
      <c r="F48" s="13" t="s">
        <v>316</v>
      </c>
      <c r="G48" s="37" t="s">
        <v>317</v>
      </c>
      <c r="H48" s="13" t="s">
        <v>318</v>
      </c>
      <c r="I48" s="144" t="s">
        <v>411</v>
      </c>
      <c r="J48" s="13" t="s">
        <v>267</v>
      </c>
      <c r="K48" s="37" t="s">
        <v>59</v>
      </c>
      <c r="L48" s="149">
        <v>46172</v>
      </c>
      <c r="M48" s="149"/>
      <c r="N48" s="149">
        <v>46172</v>
      </c>
      <c r="O48" s="37" t="s">
        <v>320</v>
      </c>
      <c r="P48" s="37" t="s">
        <v>164</v>
      </c>
      <c r="Q48" s="38" t="b">
        <v>0</v>
      </c>
      <c r="R48" s="39" t="s">
        <v>91</v>
      </c>
      <c r="S48" s="27" t="s">
        <v>10</v>
      </c>
      <c r="T48" s="27"/>
      <c r="U48" s="27" t="str">
        <f>IF(TablaCore[[#This Row],[Fecha requerida]]="","N",IF(TablaCore[[#This Row],[Fecha requerida]]&lt;=DATE(2026,4,30),"S","N"))</f>
        <v>N</v>
      </c>
    </row>
    <row r="49" spans="2:21" ht="15" customHeight="1">
      <c r="B49" s="11">
        <v>47</v>
      </c>
      <c r="C49" s="115" t="s">
        <v>10</v>
      </c>
      <c r="D49" s="11" t="s">
        <v>35</v>
      </c>
      <c r="E49" s="28" t="s">
        <v>412</v>
      </c>
      <c r="F49" s="13" t="s">
        <v>316</v>
      </c>
      <c r="G49" s="37" t="s">
        <v>317</v>
      </c>
      <c r="H49" s="13" t="s">
        <v>318</v>
      </c>
      <c r="I49" s="144" t="s">
        <v>413</v>
      </c>
      <c r="J49" s="13" t="s">
        <v>41</v>
      </c>
      <c r="K49" s="37" t="s">
        <v>59</v>
      </c>
      <c r="L49" s="149">
        <v>46203</v>
      </c>
      <c r="M49" s="149"/>
      <c r="N49" s="149">
        <v>46203</v>
      </c>
      <c r="O49" s="37" t="s">
        <v>320</v>
      </c>
      <c r="P49" s="37" t="s">
        <v>164</v>
      </c>
      <c r="Q49" s="38" t="b">
        <v>0</v>
      </c>
      <c r="R49" s="39" t="s">
        <v>91</v>
      </c>
      <c r="S49" s="27" t="s">
        <v>10</v>
      </c>
      <c r="T49" s="27"/>
      <c r="U49" s="27" t="str">
        <f>IF(TablaCore[[#This Row],[Fecha requerida]]="","N",IF(TablaCore[[#This Row],[Fecha requerida]]&lt;=DATE(2026,4,30),"S","N"))</f>
        <v>N</v>
      </c>
    </row>
    <row r="50" spans="2:21" ht="15" customHeight="1">
      <c r="B50" s="11">
        <v>48</v>
      </c>
      <c r="C50" s="115" t="s">
        <v>10</v>
      </c>
      <c r="D50" s="11" t="s">
        <v>35</v>
      </c>
      <c r="E50" s="28" t="s">
        <v>414</v>
      </c>
      <c r="F50" s="13" t="s">
        <v>316</v>
      </c>
      <c r="G50" s="37" t="s">
        <v>317</v>
      </c>
      <c r="H50" s="13" t="s">
        <v>318</v>
      </c>
      <c r="I50" s="144" t="s">
        <v>415</v>
      </c>
      <c r="J50" s="13" t="s">
        <v>41</v>
      </c>
      <c r="K50" s="37" t="s">
        <v>59</v>
      </c>
      <c r="L50" s="149">
        <v>46203</v>
      </c>
      <c r="M50" s="149"/>
      <c r="N50" s="149">
        <v>46203</v>
      </c>
      <c r="O50" s="37" t="s">
        <v>320</v>
      </c>
      <c r="P50" s="37" t="s">
        <v>164</v>
      </c>
      <c r="Q50" s="38" t="b">
        <v>0</v>
      </c>
      <c r="R50" s="39" t="s">
        <v>91</v>
      </c>
      <c r="S50" s="27" t="s">
        <v>10</v>
      </c>
      <c r="T50" s="27"/>
      <c r="U50" s="27" t="str">
        <f>IF(TablaCore[[#This Row],[Fecha requerida]]="","N",IF(TablaCore[[#This Row],[Fecha requerida]]&lt;=DATE(2026,4,30),"S","N"))</f>
        <v>N</v>
      </c>
    </row>
    <row r="51" spans="2:21" ht="15" customHeight="1">
      <c r="B51" s="11">
        <v>49</v>
      </c>
      <c r="C51" s="115" t="s">
        <v>10</v>
      </c>
      <c r="D51" s="11" t="s">
        <v>35</v>
      </c>
      <c r="E51" s="28" t="s">
        <v>416</v>
      </c>
      <c r="F51" s="13" t="s">
        <v>316</v>
      </c>
      <c r="G51" s="37" t="s">
        <v>317</v>
      </c>
      <c r="H51" s="13" t="s">
        <v>318</v>
      </c>
      <c r="I51" s="144" t="s">
        <v>417</v>
      </c>
      <c r="J51" s="13" t="s">
        <v>41</v>
      </c>
      <c r="K51" s="37" t="s">
        <v>59</v>
      </c>
      <c r="L51" s="149">
        <v>46203</v>
      </c>
      <c r="M51" s="149"/>
      <c r="N51" s="149">
        <v>46203</v>
      </c>
      <c r="O51" s="37" t="s">
        <v>320</v>
      </c>
      <c r="P51" s="37" t="s">
        <v>164</v>
      </c>
      <c r="Q51" s="38" t="b">
        <v>0</v>
      </c>
      <c r="R51" s="39" t="s">
        <v>91</v>
      </c>
      <c r="S51" s="27" t="s">
        <v>10</v>
      </c>
      <c r="T51" s="27"/>
      <c r="U51" s="27" t="str">
        <f>IF(TablaCore[[#This Row],[Fecha requerida]]="","N",IF(TablaCore[[#This Row],[Fecha requerida]]&lt;=DATE(2026,4,30),"S","N"))</f>
        <v>N</v>
      </c>
    </row>
    <row r="52" spans="2:21" ht="15" customHeight="1">
      <c r="B52" s="11">
        <v>50</v>
      </c>
      <c r="C52" s="115" t="s">
        <v>10</v>
      </c>
      <c r="D52" s="11" t="s">
        <v>35</v>
      </c>
      <c r="E52" s="28" t="s">
        <v>418</v>
      </c>
      <c r="F52" s="13" t="s">
        <v>316</v>
      </c>
      <c r="G52" s="37" t="s">
        <v>317</v>
      </c>
      <c r="H52" s="13" t="s">
        <v>318</v>
      </c>
      <c r="I52" s="144" t="s">
        <v>419</v>
      </c>
      <c r="J52" s="13" t="s">
        <v>41</v>
      </c>
      <c r="K52" s="37" t="s">
        <v>59</v>
      </c>
      <c r="L52" s="149">
        <v>46203</v>
      </c>
      <c r="M52" s="149"/>
      <c r="N52" s="149">
        <v>46203</v>
      </c>
      <c r="O52" s="37" t="s">
        <v>320</v>
      </c>
      <c r="P52" s="37" t="s">
        <v>164</v>
      </c>
      <c r="Q52" s="38" t="b">
        <v>0</v>
      </c>
      <c r="R52" s="39" t="s">
        <v>91</v>
      </c>
      <c r="S52" s="27" t="s">
        <v>10</v>
      </c>
      <c r="T52" s="27"/>
      <c r="U52" s="27" t="str">
        <f>IF(TablaCore[[#This Row],[Fecha requerida]]="","N",IF(TablaCore[[#This Row],[Fecha requerida]]&lt;=DATE(2026,4,30),"S","N"))</f>
        <v>N</v>
      </c>
    </row>
    <row r="53" spans="2:21" ht="15" customHeight="1">
      <c r="B53" s="11">
        <v>51</v>
      </c>
      <c r="C53" s="115" t="s">
        <v>10</v>
      </c>
      <c r="D53" s="11" t="s">
        <v>35</v>
      </c>
      <c r="E53" s="28" t="s">
        <v>420</v>
      </c>
      <c r="F53" s="13" t="s">
        <v>316</v>
      </c>
      <c r="G53" s="37" t="s">
        <v>317</v>
      </c>
      <c r="H53" s="13" t="s">
        <v>318</v>
      </c>
      <c r="I53" s="144" t="s">
        <v>421</v>
      </c>
      <c r="J53" s="13" t="s">
        <v>41</v>
      </c>
      <c r="K53" s="37" t="s">
        <v>59</v>
      </c>
      <c r="L53" s="149">
        <v>46203</v>
      </c>
      <c r="M53" s="149"/>
      <c r="N53" s="149">
        <v>46203</v>
      </c>
      <c r="O53" s="37" t="s">
        <v>320</v>
      </c>
      <c r="P53" s="37" t="s">
        <v>164</v>
      </c>
      <c r="Q53" s="38" t="b">
        <v>0</v>
      </c>
      <c r="R53" s="39" t="s">
        <v>91</v>
      </c>
      <c r="S53" s="27" t="s">
        <v>10</v>
      </c>
      <c r="T53" s="27"/>
      <c r="U53" s="27" t="str">
        <f>IF(TablaCore[[#This Row],[Fecha requerida]]="","N",IF(TablaCore[[#This Row],[Fecha requerida]]&lt;=DATE(2026,4,30),"S","N"))</f>
        <v>N</v>
      </c>
    </row>
    <row r="54" spans="2:21" ht="15" customHeight="1">
      <c r="B54" s="11">
        <v>52</v>
      </c>
      <c r="C54" s="115" t="s">
        <v>10</v>
      </c>
      <c r="D54" s="11" t="s">
        <v>35</v>
      </c>
      <c r="E54" s="28" t="s">
        <v>422</v>
      </c>
      <c r="F54" s="13" t="s">
        <v>316</v>
      </c>
      <c r="G54" s="37" t="s">
        <v>317</v>
      </c>
      <c r="H54" s="13" t="s">
        <v>318</v>
      </c>
      <c r="I54" s="144" t="s">
        <v>423</v>
      </c>
      <c r="J54" s="13" t="s">
        <v>41</v>
      </c>
      <c r="K54" s="37" t="s">
        <v>59</v>
      </c>
      <c r="L54" s="149">
        <v>46203</v>
      </c>
      <c r="M54" s="149"/>
      <c r="N54" s="149">
        <v>46203</v>
      </c>
      <c r="O54" s="37" t="s">
        <v>320</v>
      </c>
      <c r="P54" s="37" t="s">
        <v>164</v>
      </c>
      <c r="Q54" s="38" t="b">
        <v>0</v>
      </c>
      <c r="R54" s="39" t="s">
        <v>91</v>
      </c>
      <c r="S54" s="27" t="s">
        <v>10</v>
      </c>
      <c r="T54" s="27"/>
      <c r="U54" s="27" t="str">
        <f>IF(TablaCore[[#This Row],[Fecha requerida]]="","N",IF(TablaCore[[#This Row],[Fecha requerida]]&lt;=DATE(2026,4,30),"S","N"))</f>
        <v>N</v>
      </c>
    </row>
    <row r="55" spans="2:21" ht="15" customHeight="1">
      <c r="B55" s="11">
        <v>53</v>
      </c>
      <c r="C55" s="115" t="s">
        <v>10</v>
      </c>
      <c r="D55" s="11" t="s">
        <v>35</v>
      </c>
      <c r="E55" s="28" t="s">
        <v>424</v>
      </c>
      <c r="F55" s="13" t="s">
        <v>316</v>
      </c>
      <c r="G55" s="37" t="s">
        <v>317</v>
      </c>
      <c r="H55" s="13" t="s">
        <v>318</v>
      </c>
      <c r="I55" s="144" t="s">
        <v>425</v>
      </c>
      <c r="J55" s="13" t="s">
        <v>41</v>
      </c>
      <c r="K55" s="37" t="s">
        <v>59</v>
      </c>
      <c r="L55" s="149">
        <v>46203</v>
      </c>
      <c r="M55" s="149"/>
      <c r="N55" s="149">
        <v>46203</v>
      </c>
      <c r="O55" s="37" t="s">
        <v>320</v>
      </c>
      <c r="P55" s="37" t="s">
        <v>164</v>
      </c>
      <c r="Q55" s="38" t="b">
        <v>0</v>
      </c>
      <c r="R55" s="39" t="s">
        <v>91</v>
      </c>
      <c r="S55" s="27" t="s">
        <v>10</v>
      </c>
      <c r="T55" s="27"/>
      <c r="U55" s="27" t="str">
        <f>IF(TablaCore[[#This Row],[Fecha requerida]]="","N",IF(TablaCore[[#This Row],[Fecha requerida]]&lt;=DATE(2026,4,30),"S","N"))</f>
        <v>N</v>
      </c>
    </row>
    <row r="56" spans="2:21" ht="15" customHeight="1">
      <c r="B56" s="11">
        <v>54</v>
      </c>
      <c r="C56" s="115" t="s">
        <v>10</v>
      </c>
      <c r="D56" s="11" t="s">
        <v>35</v>
      </c>
      <c r="E56" s="28" t="s">
        <v>426</v>
      </c>
      <c r="F56" s="13" t="s">
        <v>316</v>
      </c>
      <c r="G56" s="37" t="s">
        <v>317</v>
      </c>
      <c r="H56" s="13" t="s">
        <v>318</v>
      </c>
      <c r="I56" s="144" t="s">
        <v>427</v>
      </c>
      <c r="J56" s="13" t="s">
        <v>41</v>
      </c>
      <c r="K56" s="37" t="s">
        <v>59</v>
      </c>
      <c r="L56" s="149">
        <v>46203</v>
      </c>
      <c r="M56" s="149"/>
      <c r="N56" s="149">
        <v>46203</v>
      </c>
      <c r="O56" s="37" t="s">
        <v>320</v>
      </c>
      <c r="P56" s="37" t="s">
        <v>164</v>
      </c>
      <c r="Q56" s="38" t="b">
        <v>0</v>
      </c>
      <c r="R56" s="39" t="s">
        <v>91</v>
      </c>
      <c r="S56" s="27" t="s">
        <v>10</v>
      </c>
      <c r="T56" s="27"/>
      <c r="U56" s="27" t="str">
        <f>IF(TablaCore[[#This Row],[Fecha requerida]]="","N",IF(TablaCore[[#This Row],[Fecha requerida]]&lt;=DATE(2026,4,30),"S","N"))</f>
        <v>N</v>
      </c>
    </row>
    <row r="57" spans="2:21" ht="15" customHeight="1">
      <c r="B57" s="11">
        <v>55</v>
      </c>
      <c r="C57" s="115" t="s">
        <v>10</v>
      </c>
      <c r="D57" s="11" t="s">
        <v>35</v>
      </c>
      <c r="E57" s="28" t="s">
        <v>428</v>
      </c>
      <c r="F57" s="13" t="s">
        <v>316</v>
      </c>
      <c r="G57" s="37" t="s">
        <v>317</v>
      </c>
      <c r="H57" s="13" t="s">
        <v>318</v>
      </c>
      <c r="I57" s="144" t="s">
        <v>429</v>
      </c>
      <c r="J57" s="13" t="s">
        <v>41</v>
      </c>
      <c r="K57" s="37" t="s">
        <v>59</v>
      </c>
      <c r="L57" s="149">
        <v>46203</v>
      </c>
      <c r="M57" s="149"/>
      <c r="N57" s="149">
        <v>46203</v>
      </c>
      <c r="O57" s="37" t="s">
        <v>320</v>
      </c>
      <c r="P57" s="37" t="s">
        <v>164</v>
      </c>
      <c r="Q57" s="38" t="b">
        <v>0</v>
      </c>
      <c r="R57" s="39" t="s">
        <v>91</v>
      </c>
      <c r="S57" s="27" t="s">
        <v>10</v>
      </c>
      <c r="T57" s="27"/>
      <c r="U57" s="27" t="str">
        <f>IF(TablaCore[[#This Row],[Fecha requerida]]="","N",IF(TablaCore[[#This Row],[Fecha requerida]]&lt;=DATE(2026,4,30),"S","N"))</f>
        <v>N</v>
      </c>
    </row>
    <row r="58" spans="2:21" ht="15" customHeight="1">
      <c r="B58" s="11">
        <v>56</v>
      </c>
      <c r="C58" s="115" t="s">
        <v>10</v>
      </c>
      <c r="D58" s="11" t="s">
        <v>35</v>
      </c>
      <c r="E58" s="28" t="s">
        <v>430</v>
      </c>
      <c r="F58" s="13" t="s">
        <v>316</v>
      </c>
      <c r="G58" s="37" t="s">
        <v>317</v>
      </c>
      <c r="H58" s="13" t="s">
        <v>318</v>
      </c>
      <c r="I58" s="144" t="s">
        <v>431</v>
      </c>
      <c r="J58" s="13" t="s">
        <v>41</v>
      </c>
      <c r="K58" s="37" t="s">
        <v>59</v>
      </c>
      <c r="L58" s="149">
        <v>46203</v>
      </c>
      <c r="M58" s="149"/>
      <c r="N58" s="149">
        <v>46203</v>
      </c>
      <c r="O58" s="37" t="s">
        <v>320</v>
      </c>
      <c r="P58" s="37" t="s">
        <v>164</v>
      </c>
      <c r="Q58" s="38" t="b">
        <v>0</v>
      </c>
      <c r="R58" s="39" t="s">
        <v>91</v>
      </c>
      <c r="S58" s="27" t="s">
        <v>10</v>
      </c>
      <c r="T58" s="27"/>
      <c r="U58" s="27" t="str">
        <f>IF(TablaCore[[#This Row],[Fecha requerida]]="","N",IF(TablaCore[[#This Row],[Fecha requerida]]&lt;=DATE(2026,4,30),"S","N"))</f>
        <v>N</v>
      </c>
    </row>
    <row r="59" spans="2:21" ht="15" customHeight="1">
      <c r="B59" s="11">
        <v>57</v>
      </c>
      <c r="C59" s="115" t="s">
        <v>10</v>
      </c>
      <c r="D59" s="11" t="s">
        <v>35</v>
      </c>
      <c r="E59" s="28" t="s">
        <v>432</v>
      </c>
      <c r="F59" s="13" t="s">
        <v>316</v>
      </c>
      <c r="G59" s="37" t="s">
        <v>317</v>
      </c>
      <c r="H59" s="13" t="s">
        <v>318</v>
      </c>
      <c r="I59" s="144" t="s">
        <v>433</v>
      </c>
      <c r="J59" s="13" t="s">
        <v>41</v>
      </c>
      <c r="K59" s="37" t="s">
        <v>59</v>
      </c>
      <c r="L59" s="149">
        <v>46203</v>
      </c>
      <c r="M59" s="149"/>
      <c r="N59" s="149">
        <v>46203</v>
      </c>
      <c r="O59" s="37" t="s">
        <v>320</v>
      </c>
      <c r="P59" s="37" t="s">
        <v>164</v>
      </c>
      <c r="Q59" s="38" t="b">
        <v>0</v>
      </c>
      <c r="R59" s="39" t="s">
        <v>91</v>
      </c>
      <c r="S59" s="27" t="s">
        <v>10</v>
      </c>
      <c r="T59" s="27"/>
      <c r="U59" s="27" t="str">
        <f>IF(TablaCore[[#This Row],[Fecha requerida]]="","N",IF(TablaCore[[#This Row],[Fecha requerida]]&lt;=DATE(2026,4,30),"S","N"))</f>
        <v>N</v>
      </c>
    </row>
    <row r="60" spans="2:21" ht="15" customHeight="1">
      <c r="B60" s="11">
        <v>58</v>
      </c>
      <c r="C60" s="115" t="s">
        <v>10</v>
      </c>
      <c r="D60" s="11" t="s">
        <v>35</v>
      </c>
      <c r="E60" s="28" t="s">
        <v>434</v>
      </c>
      <c r="F60" s="13" t="s">
        <v>316</v>
      </c>
      <c r="G60" s="37" t="s">
        <v>317</v>
      </c>
      <c r="H60" s="13" t="s">
        <v>318</v>
      </c>
      <c r="I60" s="36" t="s">
        <v>435</v>
      </c>
      <c r="J60" s="13" t="s">
        <v>41</v>
      </c>
      <c r="K60" s="37" t="s">
        <v>59</v>
      </c>
      <c r="L60" s="149">
        <v>46172</v>
      </c>
      <c r="M60" s="149"/>
      <c r="N60" s="149">
        <v>46172</v>
      </c>
      <c r="O60" s="37" t="s">
        <v>320</v>
      </c>
      <c r="P60" s="37" t="s">
        <v>164</v>
      </c>
      <c r="Q60" s="38" t="b">
        <v>0</v>
      </c>
      <c r="R60" s="39" t="s">
        <v>91</v>
      </c>
      <c r="S60" s="27" t="s">
        <v>10</v>
      </c>
      <c r="T60" s="27"/>
      <c r="U60" s="27" t="str">
        <f>IF(TablaCore[[#This Row],[Fecha requerida]]="","N",IF(TablaCore[[#This Row],[Fecha requerida]]&lt;=DATE(2026,4,30),"S","N"))</f>
        <v>N</v>
      </c>
    </row>
    <row r="61" spans="2:21" ht="15" customHeight="1">
      <c r="B61" s="11">
        <v>59</v>
      </c>
      <c r="C61" s="115" t="s">
        <v>10</v>
      </c>
      <c r="D61" s="11" t="s">
        <v>35</v>
      </c>
      <c r="E61" s="28" t="s">
        <v>436</v>
      </c>
      <c r="F61" s="13" t="s">
        <v>316</v>
      </c>
      <c r="G61" s="37" t="s">
        <v>317</v>
      </c>
      <c r="H61" s="13" t="s">
        <v>318</v>
      </c>
      <c r="I61" s="36" t="s">
        <v>437</v>
      </c>
      <c r="J61" s="13" t="s">
        <v>41</v>
      </c>
      <c r="K61" s="37" t="s">
        <v>59</v>
      </c>
      <c r="L61" s="149">
        <v>46172</v>
      </c>
      <c r="M61" s="149"/>
      <c r="N61" s="149">
        <v>46172</v>
      </c>
      <c r="O61" s="37" t="s">
        <v>320</v>
      </c>
      <c r="P61" s="37" t="s">
        <v>164</v>
      </c>
      <c r="Q61" s="60" t="b">
        <v>0</v>
      </c>
      <c r="R61" s="39" t="s">
        <v>91</v>
      </c>
      <c r="S61" s="27" t="s">
        <v>10</v>
      </c>
      <c r="T61" s="27"/>
      <c r="U61" s="27" t="str">
        <f>IF(TablaCore[[#This Row],[Fecha requerida]]="","N",IF(TablaCore[[#This Row],[Fecha requerida]]&lt;=DATE(2026,4,30),"S","N"))</f>
        <v>N</v>
      </c>
    </row>
    <row r="62" spans="2:21" ht="15" customHeight="1">
      <c r="B62" s="11">
        <v>60</v>
      </c>
      <c r="C62" s="115" t="s">
        <v>10</v>
      </c>
      <c r="D62" s="11" t="s">
        <v>35</v>
      </c>
      <c r="E62" s="28" t="s">
        <v>438</v>
      </c>
      <c r="F62" s="13" t="s">
        <v>316</v>
      </c>
      <c r="G62" s="37" t="s">
        <v>317</v>
      </c>
      <c r="H62" s="13" t="s">
        <v>318</v>
      </c>
      <c r="I62" s="145" t="s">
        <v>439</v>
      </c>
      <c r="J62" s="13" t="s">
        <v>41</v>
      </c>
      <c r="K62" s="37" t="s">
        <v>59</v>
      </c>
      <c r="L62" s="149">
        <v>46203</v>
      </c>
      <c r="M62" s="149"/>
      <c r="N62" s="149">
        <v>46203</v>
      </c>
      <c r="O62" s="37" t="s">
        <v>320</v>
      </c>
      <c r="P62" s="37" t="s">
        <v>164</v>
      </c>
      <c r="Q62" s="38" t="b">
        <v>0</v>
      </c>
      <c r="R62" s="39" t="s">
        <v>91</v>
      </c>
      <c r="S62" s="27" t="s">
        <v>10</v>
      </c>
      <c r="T62" s="27"/>
      <c r="U62" s="27" t="str">
        <f>IF(TablaCore[[#This Row],[Fecha requerida]]="","N",IF(TablaCore[[#This Row],[Fecha requerida]]&lt;=DATE(2026,4,30),"S","N"))</f>
        <v>N</v>
      </c>
    </row>
    <row r="63" spans="2:21" ht="15" customHeight="1">
      <c r="B63" s="11">
        <v>61</v>
      </c>
      <c r="C63" s="115" t="s">
        <v>10</v>
      </c>
      <c r="D63" s="11" t="s">
        <v>35</v>
      </c>
      <c r="E63" s="28" t="s">
        <v>440</v>
      </c>
      <c r="F63" s="13" t="s">
        <v>316</v>
      </c>
      <c r="G63" s="37" t="s">
        <v>317</v>
      </c>
      <c r="H63" s="13" t="s">
        <v>318</v>
      </c>
      <c r="I63" s="145" t="s">
        <v>441</v>
      </c>
      <c r="J63" s="13" t="s">
        <v>41</v>
      </c>
      <c r="K63" s="37" t="s">
        <v>59</v>
      </c>
      <c r="L63" s="149">
        <v>46203</v>
      </c>
      <c r="M63" s="149"/>
      <c r="N63" s="149">
        <v>46203</v>
      </c>
      <c r="O63" s="37" t="s">
        <v>320</v>
      </c>
      <c r="P63" s="37" t="s">
        <v>164</v>
      </c>
      <c r="Q63" s="38" t="b">
        <v>0</v>
      </c>
      <c r="R63" s="39" t="s">
        <v>91</v>
      </c>
      <c r="S63" s="27" t="s">
        <v>10</v>
      </c>
      <c r="T63" s="27"/>
      <c r="U63" s="27" t="str">
        <f>IF(TablaCore[[#This Row],[Fecha requerida]]="","N",IF(TablaCore[[#This Row],[Fecha requerida]]&lt;=DATE(2026,4,30),"S","N"))</f>
        <v>N</v>
      </c>
    </row>
    <row r="64" spans="2:21" ht="15" customHeight="1">
      <c r="B64" s="11">
        <v>62</v>
      </c>
      <c r="C64" s="115" t="s">
        <v>10</v>
      </c>
      <c r="D64" s="11" t="s">
        <v>35</v>
      </c>
      <c r="E64" s="28" t="s">
        <v>442</v>
      </c>
      <c r="F64" s="13" t="s">
        <v>316</v>
      </c>
      <c r="G64" s="37" t="s">
        <v>317</v>
      </c>
      <c r="H64" s="13" t="s">
        <v>318</v>
      </c>
      <c r="I64" s="145" t="s">
        <v>443</v>
      </c>
      <c r="J64" s="13" t="s">
        <v>41</v>
      </c>
      <c r="K64" s="37" t="s">
        <v>59</v>
      </c>
      <c r="L64" s="149">
        <v>46203</v>
      </c>
      <c r="M64" s="149"/>
      <c r="N64" s="149">
        <v>46203</v>
      </c>
      <c r="O64" s="37" t="s">
        <v>320</v>
      </c>
      <c r="P64" s="37" t="s">
        <v>164</v>
      </c>
      <c r="Q64" s="38" t="b">
        <v>0</v>
      </c>
      <c r="R64" s="39" t="s">
        <v>91</v>
      </c>
      <c r="S64" s="27" t="s">
        <v>10</v>
      </c>
      <c r="T64" s="27"/>
      <c r="U64" s="27" t="str">
        <f>IF(TablaCore[[#This Row],[Fecha requerida]]="","N",IF(TablaCore[[#This Row],[Fecha requerida]]&lt;=DATE(2026,4,30),"S","N"))</f>
        <v>N</v>
      </c>
    </row>
    <row r="65" spans="2:21" ht="15" customHeight="1">
      <c r="B65" s="11">
        <v>63</v>
      </c>
      <c r="C65" s="115" t="s">
        <v>10</v>
      </c>
      <c r="D65" s="11" t="s">
        <v>35</v>
      </c>
      <c r="E65" s="28" t="s">
        <v>444</v>
      </c>
      <c r="F65" s="13" t="s">
        <v>316</v>
      </c>
      <c r="G65" s="37" t="s">
        <v>317</v>
      </c>
      <c r="H65" s="13" t="s">
        <v>318</v>
      </c>
      <c r="I65" s="146" t="s">
        <v>445</v>
      </c>
      <c r="J65" s="13" t="s">
        <v>41</v>
      </c>
      <c r="K65" s="37" t="s">
        <v>59</v>
      </c>
      <c r="L65" s="149">
        <v>46203</v>
      </c>
      <c r="M65" s="149"/>
      <c r="N65" s="149">
        <v>46203</v>
      </c>
      <c r="O65" s="37" t="s">
        <v>320</v>
      </c>
      <c r="P65" s="37" t="s">
        <v>164</v>
      </c>
      <c r="Q65" s="60" t="b">
        <v>0</v>
      </c>
      <c r="R65" s="39" t="s">
        <v>91</v>
      </c>
      <c r="S65" s="27" t="s">
        <v>10</v>
      </c>
      <c r="T65" s="27"/>
      <c r="U65" s="27" t="str">
        <f>IF(TablaCore[[#This Row],[Fecha requerida]]="","N",IF(TablaCore[[#This Row],[Fecha requerida]]&lt;=DATE(2026,4,30),"S","N"))</f>
        <v>N</v>
      </c>
    </row>
    <row r="66" spans="2:21" ht="15" customHeight="1">
      <c r="B66" s="11">
        <v>64</v>
      </c>
      <c r="C66" s="115" t="s">
        <v>10</v>
      </c>
      <c r="D66" s="11" t="s">
        <v>35</v>
      </c>
      <c r="E66" s="28" t="s">
        <v>446</v>
      </c>
      <c r="F66" s="13" t="s">
        <v>316</v>
      </c>
      <c r="G66" s="37" t="s">
        <v>317</v>
      </c>
      <c r="H66" s="13" t="s">
        <v>318</v>
      </c>
      <c r="I66" s="145" t="s">
        <v>363</v>
      </c>
      <c r="J66" s="13" t="s">
        <v>41</v>
      </c>
      <c r="K66" s="37" t="s">
        <v>59</v>
      </c>
      <c r="L66" s="149">
        <v>46203</v>
      </c>
      <c r="M66" s="149"/>
      <c r="N66" s="149">
        <v>46203</v>
      </c>
      <c r="O66" s="37" t="s">
        <v>320</v>
      </c>
      <c r="P66" s="37" t="s">
        <v>164</v>
      </c>
      <c r="Q66" s="38" t="b">
        <v>0</v>
      </c>
      <c r="R66" s="39" t="s">
        <v>91</v>
      </c>
      <c r="S66" s="27" t="s">
        <v>10</v>
      </c>
      <c r="T66" s="27"/>
      <c r="U66" s="27" t="str">
        <f>IF(TablaCore[[#This Row],[Fecha requerida]]="","N",IF(TablaCore[[#This Row],[Fecha requerida]]&lt;=DATE(2026,4,30),"S","N"))</f>
        <v>N</v>
      </c>
    </row>
    <row r="67" spans="2:21" ht="15" customHeight="1">
      <c r="B67" s="11">
        <v>65</v>
      </c>
      <c r="C67" s="115" t="s">
        <v>10</v>
      </c>
      <c r="D67" s="11" t="s">
        <v>35</v>
      </c>
      <c r="E67" s="28" t="s">
        <v>447</v>
      </c>
      <c r="F67" s="13" t="s">
        <v>316</v>
      </c>
      <c r="G67" s="37" t="s">
        <v>317</v>
      </c>
      <c r="H67" s="13" t="s">
        <v>318</v>
      </c>
      <c r="I67" s="145" t="s">
        <v>365</v>
      </c>
      <c r="J67" s="13" t="s">
        <v>41</v>
      </c>
      <c r="K67" s="37" t="s">
        <v>59</v>
      </c>
      <c r="L67" s="149">
        <v>46203</v>
      </c>
      <c r="M67" s="149"/>
      <c r="N67" s="149">
        <v>46203</v>
      </c>
      <c r="O67" s="37" t="s">
        <v>320</v>
      </c>
      <c r="P67" s="37" t="s">
        <v>164</v>
      </c>
      <c r="Q67" s="38" t="b">
        <v>0</v>
      </c>
      <c r="R67" s="39" t="s">
        <v>91</v>
      </c>
      <c r="S67" s="27" t="s">
        <v>10</v>
      </c>
      <c r="T67" s="27"/>
      <c r="U67" s="27" t="str">
        <f>IF(TablaCore[[#This Row],[Fecha requerida]]="","N",IF(TablaCore[[#This Row],[Fecha requerida]]&lt;=DATE(2026,4,30),"S","N"))</f>
        <v>N</v>
      </c>
    </row>
    <row r="68" spans="2:21" ht="15" customHeight="1">
      <c r="B68" s="11">
        <v>66</v>
      </c>
      <c r="C68" s="115" t="s">
        <v>10</v>
      </c>
      <c r="D68" s="11" t="s">
        <v>35</v>
      </c>
      <c r="E68" s="28" t="s">
        <v>448</v>
      </c>
      <c r="F68" s="13" t="s">
        <v>316</v>
      </c>
      <c r="G68" s="37" t="s">
        <v>317</v>
      </c>
      <c r="H68" s="13" t="s">
        <v>318</v>
      </c>
      <c r="I68" s="146" t="s">
        <v>377</v>
      </c>
      <c r="J68" s="13" t="s">
        <v>41</v>
      </c>
      <c r="K68" s="37" t="s">
        <v>59</v>
      </c>
      <c r="L68" s="149">
        <v>46203</v>
      </c>
      <c r="M68" s="149"/>
      <c r="N68" s="149">
        <v>46203</v>
      </c>
      <c r="O68" s="37" t="s">
        <v>320</v>
      </c>
      <c r="P68" s="37" t="s">
        <v>164</v>
      </c>
      <c r="Q68" s="60" t="b">
        <v>0</v>
      </c>
      <c r="R68" s="39" t="s">
        <v>91</v>
      </c>
      <c r="S68" s="27" t="s">
        <v>10</v>
      </c>
      <c r="T68" s="27"/>
      <c r="U68" s="27" t="str">
        <f>IF(TablaCore[[#This Row],[Fecha requerida]]="","N",IF(TablaCore[[#This Row],[Fecha requerida]]&lt;=DATE(2026,4,30),"S","N"))</f>
        <v>N</v>
      </c>
    </row>
    <row r="69" spans="2:21" ht="15" customHeight="1">
      <c r="B69" s="11">
        <v>67</v>
      </c>
      <c r="C69" s="115" t="s">
        <v>10</v>
      </c>
      <c r="D69" s="11" t="s">
        <v>35</v>
      </c>
      <c r="E69" s="28" t="s">
        <v>449</v>
      </c>
      <c r="F69" s="13" t="s">
        <v>316</v>
      </c>
      <c r="G69" s="37" t="s">
        <v>317</v>
      </c>
      <c r="H69" s="13" t="s">
        <v>318</v>
      </c>
      <c r="I69" s="36" t="s">
        <v>450</v>
      </c>
      <c r="J69" s="13" t="s">
        <v>267</v>
      </c>
      <c r="K69" s="37" t="s">
        <v>59</v>
      </c>
      <c r="L69" s="149">
        <v>46173</v>
      </c>
      <c r="M69" s="149"/>
      <c r="N69" s="149">
        <v>46173</v>
      </c>
      <c r="O69" s="37" t="s">
        <v>320</v>
      </c>
      <c r="P69" s="37" t="s">
        <v>164</v>
      </c>
      <c r="Q69" s="38" t="b">
        <v>0</v>
      </c>
      <c r="R69" s="39" t="s">
        <v>91</v>
      </c>
      <c r="S69" s="27" t="s">
        <v>10</v>
      </c>
      <c r="T69" s="27"/>
      <c r="U69" s="27" t="str">
        <f>IF(TablaCore[[#This Row],[Fecha requerida]]="","N",IF(TablaCore[[#This Row],[Fecha requerida]]&lt;=DATE(2026,4,30),"S","N"))</f>
        <v>N</v>
      </c>
    </row>
    <row r="70" spans="2:21" ht="15" customHeight="1">
      <c r="B70" s="11">
        <v>68</v>
      </c>
      <c r="C70" s="115" t="s">
        <v>10</v>
      </c>
      <c r="D70" s="11" t="s">
        <v>35</v>
      </c>
      <c r="E70" s="28" t="s">
        <v>451</v>
      </c>
      <c r="F70" s="13" t="s">
        <v>316</v>
      </c>
      <c r="G70" s="37" t="s">
        <v>317</v>
      </c>
      <c r="H70" s="13" t="s">
        <v>318</v>
      </c>
      <c r="I70" s="36" t="s">
        <v>452</v>
      </c>
      <c r="J70" s="13" t="s">
        <v>267</v>
      </c>
      <c r="K70" s="37" t="s">
        <v>59</v>
      </c>
      <c r="L70" s="149">
        <v>46173</v>
      </c>
      <c r="M70" s="149"/>
      <c r="N70" s="149">
        <v>46173</v>
      </c>
      <c r="O70" s="37" t="s">
        <v>320</v>
      </c>
      <c r="P70" s="37" t="s">
        <v>164</v>
      </c>
      <c r="Q70" s="60" t="b">
        <v>0</v>
      </c>
      <c r="R70" s="39" t="s">
        <v>91</v>
      </c>
      <c r="S70" s="27" t="s">
        <v>10</v>
      </c>
      <c r="T70" s="27"/>
      <c r="U70" s="27" t="str">
        <f>IF(TablaCore[[#This Row],[Fecha requerida]]="","N",IF(TablaCore[[#This Row],[Fecha requerida]]&lt;=DATE(2026,4,30),"S","N"))</f>
        <v>N</v>
      </c>
    </row>
    <row r="71" spans="2:21" ht="15" customHeight="1">
      <c r="B71" s="11">
        <v>69</v>
      </c>
      <c r="C71" s="115" t="s">
        <v>10</v>
      </c>
      <c r="D71" s="11" t="s">
        <v>35</v>
      </c>
      <c r="E71" s="28" t="s">
        <v>453</v>
      </c>
      <c r="F71" s="13" t="s">
        <v>316</v>
      </c>
      <c r="G71" s="37" t="s">
        <v>317</v>
      </c>
      <c r="H71" s="13" t="s">
        <v>318</v>
      </c>
      <c r="I71" s="36" t="s">
        <v>454</v>
      </c>
      <c r="J71" s="13" t="s">
        <v>267</v>
      </c>
      <c r="K71" s="37" t="s">
        <v>59</v>
      </c>
      <c r="L71" s="149">
        <v>46173</v>
      </c>
      <c r="M71" s="149"/>
      <c r="N71" s="149">
        <v>46173</v>
      </c>
      <c r="O71" s="37" t="s">
        <v>320</v>
      </c>
      <c r="P71" s="37" t="s">
        <v>164</v>
      </c>
      <c r="Q71" s="38" t="b">
        <v>0</v>
      </c>
      <c r="R71" s="39" t="s">
        <v>91</v>
      </c>
      <c r="S71" s="27" t="s">
        <v>10</v>
      </c>
      <c r="T71" s="27"/>
      <c r="U71" s="27" t="str">
        <f>IF(TablaCore[[#This Row],[Fecha requerida]]="","N",IF(TablaCore[[#This Row],[Fecha requerida]]&lt;=DATE(2026,4,30),"S","N"))</f>
        <v>N</v>
      </c>
    </row>
    <row r="72" spans="2:21" ht="15" customHeight="1">
      <c r="B72" s="11">
        <v>70</v>
      </c>
      <c r="C72" s="115" t="s">
        <v>10</v>
      </c>
      <c r="D72" s="11" t="s">
        <v>35</v>
      </c>
      <c r="E72" s="28" t="s">
        <v>455</v>
      </c>
      <c r="F72" s="13" t="s">
        <v>316</v>
      </c>
      <c r="G72" s="37" t="s">
        <v>317</v>
      </c>
      <c r="H72" s="13" t="s">
        <v>318</v>
      </c>
      <c r="I72" s="36" t="s">
        <v>456</v>
      </c>
      <c r="J72" s="13" t="s">
        <v>267</v>
      </c>
      <c r="K72" s="37" t="s">
        <v>59</v>
      </c>
      <c r="L72" s="149">
        <v>46173</v>
      </c>
      <c r="M72" s="149"/>
      <c r="N72" s="149">
        <v>46173</v>
      </c>
      <c r="O72" s="37" t="s">
        <v>320</v>
      </c>
      <c r="P72" s="37" t="s">
        <v>164</v>
      </c>
      <c r="Q72" s="38" t="b">
        <v>0</v>
      </c>
      <c r="R72" s="39" t="s">
        <v>91</v>
      </c>
      <c r="S72" s="27" t="s">
        <v>10</v>
      </c>
      <c r="T72" s="27"/>
      <c r="U72" s="27" t="str">
        <f>IF(TablaCore[[#This Row],[Fecha requerida]]="","N",IF(TablaCore[[#This Row],[Fecha requerida]]&lt;=DATE(2026,4,30),"S","N"))</f>
        <v>N</v>
      </c>
    </row>
    <row r="73" spans="2:21" ht="15" customHeight="1">
      <c r="B73" s="11">
        <v>71</v>
      </c>
      <c r="C73" s="115" t="s">
        <v>10</v>
      </c>
      <c r="D73" s="11" t="s">
        <v>35</v>
      </c>
      <c r="E73" s="28" t="s">
        <v>457</v>
      </c>
      <c r="F73" s="13" t="s">
        <v>316</v>
      </c>
      <c r="G73" s="37" t="s">
        <v>317</v>
      </c>
      <c r="H73" s="13" t="s">
        <v>318</v>
      </c>
      <c r="I73" s="36" t="s">
        <v>458</v>
      </c>
      <c r="J73" s="13" t="s">
        <v>267</v>
      </c>
      <c r="K73" s="37" t="s">
        <v>59</v>
      </c>
      <c r="L73" s="149">
        <v>46173</v>
      </c>
      <c r="M73" s="149"/>
      <c r="N73" s="149">
        <v>46173</v>
      </c>
      <c r="O73" s="37" t="s">
        <v>320</v>
      </c>
      <c r="P73" s="37" t="s">
        <v>164</v>
      </c>
      <c r="Q73" s="38" t="b">
        <v>0</v>
      </c>
      <c r="R73" s="39" t="s">
        <v>91</v>
      </c>
      <c r="S73" s="27" t="s">
        <v>10</v>
      </c>
      <c r="T73" s="27"/>
      <c r="U73" s="27" t="str">
        <f>IF(TablaCore[[#This Row],[Fecha requerida]]="","N",IF(TablaCore[[#This Row],[Fecha requerida]]&lt;=DATE(2026,4,30),"S","N"))</f>
        <v>N</v>
      </c>
    </row>
    <row r="74" spans="2:21" ht="15" customHeight="1">
      <c r="B74" s="11">
        <v>72</v>
      </c>
      <c r="C74" s="115" t="s">
        <v>10</v>
      </c>
      <c r="D74" s="11" t="s">
        <v>35</v>
      </c>
      <c r="E74" s="28" t="s">
        <v>459</v>
      </c>
      <c r="F74" s="13" t="s">
        <v>316</v>
      </c>
      <c r="G74" s="37" t="s">
        <v>317</v>
      </c>
      <c r="H74" s="13" t="s">
        <v>318</v>
      </c>
      <c r="I74" s="36" t="s">
        <v>460</v>
      </c>
      <c r="J74" s="13" t="s">
        <v>267</v>
      </c>
      <c r="K74" s="37" t="s">
        <v>59</v>
      </c>
      <c r="L74" s="149">
        <v>46173</v>
      </c>
      <c r="M74" s="149"/>
      <c r="N74" s="149">
        <v>46173</v>
      </c>
      <c r="O74" s="37" t="s">
        <v>320</v>
      </c>
      <c r="P74" s="37" t="s">
        <v>164</v>
      </c>
      <c r="Q74" s="38" t="b">
        <v>0</v>
      </c>
      <c r="R74" s="39" t="s">
        <v>91</v>
      </c>
      <c r="S74" s="27" t="s">
        <v>10</v>
      </c>
      <c r="T74" s="27"/>
      <c r="U74" s="27" t="str">
        <f>IF(TablaCore[[#This Row],[Fecha requerida]]="","N",IF(TablaCore[[#This Row],[Fecha requerida]]&lt;=DATE(2026,4,30),"S","N"))</f>
        <v>N</v>
      </c>
    </row>
    <row r="75" spans="2:21" ht="15" customHeight="1">
      <c r="B75" s="11">
        <v>73</v>
      </c>
      <c r="C75" s="115" t="s">
        <v>10</v>
      </c>
      <c r="D75" s="11" t="s">
        <v>35</v>
      </c>
      <c r="E75" s="28" t="s">
        <v>461</v>
      </c>
      <c r="F75" s="13" t="s">
        <v>316</v>
      </c>
      <c r="G75" s="37" t="s">
        <v>317</v>
      </c>
      <c r="H75" s="13" t="s">
        <v>318</v>
      </c>
      <c r="I75" s="36" t="s">
        <v>462</v>
      </c>
      <c r="J75" s="13" t="s">
        <v>267</v>
      </c>
      <c r="K75" s="37" t="s">
        <v>59</v>
      </c>
      <c r="L75" s="149">
        <v>46173</v>
      </c>
      <c r="M75" s="149"/>
      <c r="N75" s="149">
        <v>46173</v>
      </c>
      <c r="O75" s="37" t="s">
        <v>320</v>
      </c>
      <c r="P75" s="37" t="s">
        <v>164</v>
      </c>
      <c r="Q75" s="38" t="b">
        <v>0</v>
      </c>
      <c r="R75" s="39" t="s">
        <v>91</v>
      </c>
      <c r="S75" s="27" t="s">
        <v>10</v>
      </c>
      <c r="T75" s="27"/>
      <c r="U75" s="27" t="str">
        <f>IF(TablaCore[[#This Row],[Fecha requerida]]="","N",IF(TablaCore[[#This Row],[Fecha requerida]]&lt;=DATE(2026,4,30),"S","N"))</f>
        <v>N</v>
      </c>
    </row>
    <row r="76" spans="2:21" ht="15" customHeight="1">
      <c r="B76" s="11">
        <v>74</v>
      </c>
      <c r="C76" s="115" t="s">
        <v>10</v>
      </c>
      <c r="D76" s="11" t="s">
        <v>35</v>
      </c>
      <c r="E76" s="28" t="s">
        <v>463</v>
      </c>
      <c r="F76" s="13" t="s">
        <v>316</v>
      </c>
      <c r="G76" s="37" t="s">
        <v>317</v>
      </c>
      <c r="H76" s="13" t="s">
        <v>318</v>
      </c>
      <c r="I76" s="36" t="s">
        <v>464</v>
      </c>
      <c r="J76" s="13" t="s">
        <v>267</v>
      </c>
      <c r="K76" s="37" t="s">
        <v>59</v>
      </c>
      <c r="L76" s="149">
        <v>46173</v>
      </c>
      <c r="M76" s="149"/>
      <c r="N76" s="149">
        <v>46173</v>
      </c>
      <c r="O76" s="37" t="s">
        <v>320</v>
      </c>
      <c r="P76" s="37" t="s">
        <v>164</v>
      </c>
      <c r="Q76" s="38" t="b">
        <v>0</v>
      </c>
      <c r="R76" s="39" t="s">
        <v>91</v>
      </c>
      <c r="S76" s="27" t="s">
        <v>10</v>
      </c>
      <c r="T76" s="27"/>
      <c r="U76" s="27" t="str">
        <f>IF(TablaCore[[#This Row],[Fecha requerida]]="","N",IF(TablaCore[[#This Row],[Fecha requerida]]&lt;=DATE(2026,4,30),"S","N"))</f>
        <v>N</v>
      </c>
    </row>
    <row r="77" spans="2:21" ht="15" customHeight="1">
      <c r="B77" s="11">
        <v>75</v>
      </c>
      <c r="C77" s="115" t="s">
        <v>10</v>
      </c>
      <c r="D77" s="11" t="s">
        <v>35</v>
      </c>
      <c r="E77" s="28" t="s">
        <v>465</v>
      </c>
      <c r="F77" s="13" t="s">
        <v>316</v>
      </c>
      <c r="G77" s="37" t="s">
        <v>317</v>
      </c>
      <c r="H77" s="13" t="s">
        <v>318</v>
      </c>
      <c r="I77" s="36" t="s">
        <v>466</v>
      </c>
      <c r="J77" s="13" t="s">
        <v>267</v>
      </c>
      <c r="K77" s="37" t="s">
        <v>59</v>
      </c>
      <c r="L77" s="149">
        <v>46173</v>
      </c>
      <c r="M77" s="149"/>
      <c r="N77" s="149">
        <v>46173</v>
      </c>
      <c r="O77" s="37" t="s">
        <v>320</v>
      </c>
      <c r="P77" s="37" t="s">
        <v>164</v>
      </c>
      <c r="Q77" s="60" t="b">
        <v>0</v>
      </c>
      <c r="R77" s="39" t="s">
        <v>91</v>
      </c>
      <c r="S77" s="27" t="s">
        <v>10</v>
      </c>
      <c r="T77" s="27"/>
      <c r="U77" s="27" t="str">
        <f>IF(TablaCore[[#This Row],[Fecha requerida]]="","N",IF(TablaCore[[#This Row],[Fecha requerida]]&lt;=DATE(2026,4,30),"S","N"))</f>
        <v>N</v>
      </c>
    </row>
    <row r="78" spans="2:21" ht="15" customHeight="1">
      <c r="B78" s="11">
        <v>76</v>
      </c>
      <c r="C78" s="115" t="s">
        <v>10</v>
      </c>
      <c r="D78" s="11" t="s">
        <v>35</v>
      </c>
      <c r="E78" s="28" t="s">
        <v>467</v>
      </c>
      <c r="F78" s="13" t="s">
        <v>316</v>
      </c>
      <c r="G78" s="37" t="s">
        <v>317</v>
      </c>
      <c r="H78" s="13" t="s">
        <v>318</v>
      </c>
      <c r="I78" s="36" t="s">
        <v>468</v>
      </c>
      <c r="J78" s="13" t="s">
        <v>267</v>
      </c>
      <c r="K78" s="37" t="s">
        <v>59</v>
      </c>
      <c r="L78" s="149">
        <v>46173</v>
      </c>
      <c r="M78" s="149"/>
      <c r="N78" s="149">
        <v>46173</v>
      </c>
      <c r="O78" s="37" t="s">
        <v>320</v>
      </c>
      <c r="P78" s="37" t="s">
        <v>164</v>
      </c>
      <c r="Q78" s="60" t="b">
        <v>0</v>
      </c>
      <c r="R78" s="39" t="s">
        <v>91</v>
      </c>
      <c r="S78" s="27" t="s">
        <v>10</v>
      </c>
      <c r="T78" s="27"/>
      <c r="U78" s="27" t="str">
        <f>IF(TablaCore[[#This Row],[Fecha requerida]]="","N",IF(TablaCore[[#This Row],[Fecha requerida]]&lt;=DATE(2026,4,30),"S","N"))</f>
        <v>N</v>
      </c>
    </row>
    <row r="79" spans="2:21" ht="15" customHeight="1">
      <c r="B79" s="11">
        <v>77</v>
      </c>
      <c r="C79" s="115" t="s">
        <v>10</v>
      </c>
      <c r="D79" s="11" t="s">
        <v>35</v>
      </c>
      <c r="E79" s="28" t="s">
        <v>469</v>
      </c>
      <c r="F79" s="13" t="s">
        <v>316</v>
      </c>
      <c r="G79" s="37" t="s">
        <v>317</v>
      </c>
      <c r="H79" s="13" t="s">
        <v>318</v>
      </c>
      <c r="I79" s="36" t="s">
        <v>470</v>
      </c>
      <c r="J79" s="13" t="s">
        <v>267</v>
      </c>
      <c r="K79" s="37" t="s">
        <v>59</v>
      </c>
      <c r="L79" s="149">
        <v>46203</v>
      </c>
      <c r="M79" s="149"/>
      <c r="N79" s="149">
        <v>46203</v>
      </c>
      <c r="O79" s="37" t="s">
        <v>320</v>
      </c>
      <c r="P79" s="37" t="s">
        <v>164</v>
      </c>
      <c r="Q79" s="38" t="b">
        <v>0</v>
      </c>
      <c r="R79" s="39" t="s">
        <v>91</v>
      </c>
      <c r="S79" s="27" t="s">
        <v>10</v>
      </c>
      <c r="T79" s="27"/>
      <c r="U79" s="27" t="str">
        <f>IF(TablaCore[[#This Row],[Fecha requerida]]="","N",IF(TablaCore[[#This Row],[Fecha requerida]]&lt;=DATE(2026,4,30),"S","N"))</f>
        <v>N</v>
      </c>
    </row>
    <row r="80" spans="2:21" ht="15" customHeight="1">
      <c r="B80" s="11">
        <v>78</v>
      </c>
      <c r="C80" s="115" t="s">
        <v>10</v>
      </c>
      <c r="D80" s="11" t="s">
        <v>35</v>
      </c>
      <c r="E80" s="28" t="s">
        <v>471</v>
      </c>
      <c r="F80" s="13" t="s">
        <v>316</v>
      </c>
      <c r="G80" s="37" t="s">
        <v>317</v>
      </c>
      <c r="H80" s="13" t="s">
        <v>318</v>
      </c>
      <c r="I80" s="36" t="s">
        <v>472</v>
      </c>
      <c r="J80" s="13" t="s">
        <v>267</v>
      </c>
      <c r="K80" s="37" t="s">
        <v>59</v>
      </c>
      <c r="L80" s="149">
        <v>46203</v>
      </c>
      <c r="M80" s="149"/>
      <c r="N80" s="149">
        <v>46203</v>
      </c>
      <c r="O80" s="37" t="s">
        <v>320</v>
      </c>
      <c r="P80" s="37" t="s">
        <v>164</v>
      </c>
      <c r="Q80" s="38" t="b">
        <v>0</v>
      </c>
      <c r="R80" s="39" t="s">
        <v>91</v>
      </c>
      <c r="S80" s="27" t="s">
        <v>10</v>
      </c>
      <c r="T80" s="27"/>
      <c r="U80" s="27" t="str">
        <f>IF(TablaCore[[#This Row],[Fecha requerida]]="","N",IF(TablaCore[[#This Row],[Fecha requerida]]&lt;=DATE(2026,4,30),"S","N"))</f>
        <v>N</v>
      </c>
    </row>
    <row r="81" spans="2:21" ht="15" customHeight="1">
      <c r="B81" s="11">
        <v>79</v>
      </c>
      <c r="C81" s="115" t="s">
        <v>10</v>
      </c>
      <c r="D81" s="11" t="s">
        <v>35</v>
      </c>
      <c r="E81" s="28" t="s">
        <v>473</v>
      </c>
      <c r="F81" s="13" t="s">
        <v>316</v>
      </c>
      <c r="G81" s="37" t="s">
        <v>317</v>
      </c>
      <c r="H81" s="13" t="s">
        <v>318</v>
      </c>
      <c r="I81" s="36" t="s">
        <v>474</v>
      </c>
      <c r="J81" s="13" t="s">
        <v>267</v>
      </c>
      <c r="K81" s="37" t="s">
        <v>59</v>
      </c>
      <c r="L81" s="149">
        <v>46264</v>
      </c>
      <c r="M81" s="149"/>
      <c r="N81" s="149">
        <v>46264</v>
      </c>
      <c r="O81" s="37" t="s">
        <v>320</v>
      </c>
      <c r="P81" s="37" t="s">
        <v>164</v>
      </c>
      <c r="Q81" s="38" t="b">
        <v>0</v>
      </c>
      <c r="R81" s="39" t="s">
        <v>91</v>
      </c>
      <c r="S81" s="27" t="s">
        <v>10</v>
      </c>
      <c r="T81" s="27"/>
      <c r="U81" s="27" t="str">
        <f>IF(TablaCore[[#This Row],[Fecha requerida]]="","N",IF(TablaCore[[#This Row],[Fecha requerida]]&lt;=DATE(2026,4,30),"S","N"))</f>
        <v>N</v>
      </c>
    </row>
    <row r="82" spans="2:21" ht="15" customHeight="1">
      <c r="B82" s="11">
        <v>80</v>
      </c>
      <c r="C82" s="115" t="s">
        <v>10</v>
      </c>
      <c r="D82" s="11" t="s">
        <v>35</v>
      </c>
      <c r="E82" s="28" t="s">
        <v>475</v>
      </c>
      <c r="F82" s="13" t="s">
        <v>316</v>
      </c>
      <c r="G82" s="37" t="s">
        <v>317</v>
      </c>
      <c r="H82" s="13" t="s">
        <v>318</v>
      </c>
      <c r="I82" s="36" t="s">
        <v>476</v>
      </c>
      <c r="J82" s="13" t="s">
        <v>267</v>
      </c>
      <c r="K82" s="37" t="s">
        <v>59</v>
      </c>
      <c r="L82" s="149">
        <v>46264</v>
      </c>
      <c r="M82" s="149"/>
      <c r="N82" s="149">
        <v>46264</v>
      </c>
      <c r="O82" s="37" t="s">
        <v>320</v>
      </c>
      <c r="P82" s="37" t="s">
        <v>164</v>
      </c>
      <c r="Q82" s="38" t="b">
        <v>0</v>
      </c>
      <c r="R82" s="39" t="s">
        <v>91</v>
      </c>
      <c r="S82" s="27" t="s">
        <v>10</v>
      </c>
      <c r="T82" s="27"/>
      <c r="U82" s="27" t="str">
        <f>IF(TablaCore[[#This Row],[Fecha requerida]]="","N",IF(TablaCore[[#This Row],[Fecha requerida]]&lt;=DATE(2026,4,30),"S","N"))</f>
        <v>N</v>
      </c>
    </row>
    <row r="83" spans="2:21" ht="15" customHeight="1">
      <c r="B83" s="11">
        <v>81</v>
      </c>
      <c r="C83" s="115" t="s">
        <v>10</v>
      </c>
      <c r="D83" s="11" t="s">
        <v>35</v>
      </c>
      <c r="E83" s="28" t="s">
        <v>477</v>
      </c>
      <c r="F83" s="13" t="s">
        <v>316</v>
      </c>
      <c r="G83" s="37" t="s">
        <v>317</v>
      </c>
      <c r="H83" s="13" t="s">
        <v>318</v>
      </c>
      <c r="I83" s="36" t="s">
        <v>478</v>
      </c>
      <c r="J83" s="13" t="s">
        <v>267</v>
      </c>
      <c r="K83" s="37" t="s">
        <v>59</v>
      </c>
      <c r="L83" s="149">
        <v>46264</v>
      </c>
      <c r="M83" s="149"/>
      <c r="N83" s="149">
        <v>46264</v>
      </c>
      <c r="O83" s="37" t="s">
        <v>320</v>
      </c>
      <c r="P83" s="37" t="s">
        <v>164</v>
      </c>
      <c r="Q83" s="38" t="b">
        <v>0</v>
      </c>
      <c r="R83" s="39" t="s">
        <v>91</v>
      </c>
      <c r="S83" s="27" t="s">
        <v>10</v>
      </c>
      <c r="T83" s="27"/>
      <c r="U83" s="27" t="str">
        <f>IF(TablaCore[[#This Row],[Fecha requerida]]="","N",IF(TablaCore[[#This Row],[Fecha requerida]]&lt;=DATE(2026,4,30),"S","N"))</f>
        <v>N</v>
      </c>
    </row>
    <row r="84" spans="2:21" ht="15" customHeight="1">
      <c r="B84" s="11">
        <v>82</v>
      </c>
      <c r="C84" s="115" t="s">
        <v>10</v>
      </c>
      <c r="D84" s="11" t="s">
        <v>35</v>
      </c>
      <c r="E84" s="28" t="s">
        <v>479</v>
      </c>
      <c r="F84" s="13" t="s">
        <v>316</v>
      </c>
      <c r="G84" s="37" t="s">
        <v>317</v>
      </c>
      <c r="H84" s="13" t="s">
        <v>318</v>
      </c>
      <c r="I84" s="36" t="s">
        <v>480</v>
      </c>
      <c r="J84" s="13" t="s">
        <v>267</v>
      </c>
      <c r="K84" s="37" t="s">
        <v>59</v>
      </c>
      <c r="L84" s="149">
        <v>46264</v>
      </c>
      <c r="M84" s="149"/>
      <c r="N84" s="149">
        <v>46264</v>
      </c>
      <c r="O84" s="37" t="s">
        <v>320</v>
      </c>
      <c r="P84" s="37" t="s">
        <v>164</v>
      </c>
      <c r="Q84" s="38" t="b">
        <v>0</v>
      </c>
      <c r="R84" s="39" t="s">
        <v>91</v>
      </c>
      <c r="S84" s="27" t="s">
        <v>10</v>
      </c>
      <c r="T84" s="27"/>
      <c r="U84" s="27" t="str">
        <f>IF(TablaCore[[#This Row],[Fecha requerida]]="","N",IF(TablaCore[[#This Row],[Fecha requerida]]&lt;=DATE(2026,4,30),"S","N"))</f>
        <v>N</v>
      </c>
    </row>
    <row r="85" spans="2:21" ht="15" customHeight="1">
      <c r="B85" s="11">
        <v>83</v>
      </c>
      <c r="C85" s="115" t="s">
        <v>10</v>
      </c>
      <c r="D85" s="11" t="s">
        <v>35</v>
      </c>
      <c r="E85" s="28" t="s">
        <v>481</v>
      </c>
      <c r="F85" s="13" t="s">
        <v>316</v>
      </c>
      <c r="G85" s="37" t="s">
        <v>317</v>
      </c>
      <c r="H85" s="13" t="s">
        <v>318</v>
      </c>
      <c r="I85" s="36" t="s">
        <v>482</v>
      </c>
      <c r="J85" s="13" t="s">
        <v>267</v>
      </c>
      <c r="K85" s="37" t="s">
        <v>59</v>
      </c>
      <c r="L85" s="149">
        <v>46264</v>
      </c>
      <c r="M85" s="149"/>
      <c r="N85" s="149">
        <v>46264</v>
      </c>
      <c r="O85" s="37" t="s">
        <v>320</v>
      </c>
      <c r="P85" s="37" t="s">
        <v>164</v>
      </c>
      <c r="Q85" s="60" t="b">
        <v>0</v>
      </c>
      <c r="R85" s="39" t="s">
        <v>91</v>
      </c>
      <c r="S85" s="27" t="s">
        <v>10</v>
      </c>
      <c r="T85" s="27"/>
      <c r="U85" s="27" t="str">
        <f>IF(TablaCore[[#This Row],[Fecha requerida]]="","N",IF(TablaCore[[#This Row],[Fecha requerida]]&lt;=DATE(2026,4,30),"S","N"))</f>
        <v>N</v>
      </c>
    </row>
    <row r="86" spans="2:21" ht="15" customHeight="1">
      <c r="B86" s="11">
        <v>84</v>
      </c>
      <c r="C86" s="115" t="s">
        <v>10</v>
      </c>
      <c r="D86" s="11" t="s">
        <v>35</v>
      </c>
      <c r="E86" s="28" t="s">
        <v>315</v>
      </c>
      <c r="F86" s="13" t="s">
        <v>483</v>
      </c>
      <c r="G86" s="13" t="s">
        <v>484</v>
      </c>
      <c r="H86" s="13" t="s">
        <v>485</v>
      </c>
      <c r="I86" s="145" t="s">
        <v>319</v>
      </c>
      <c r="J86" s="13" t="s">
        <v>41</v>
      </c>
      <c r="K86" s="37" t="s">
        <v>59</v>
      </c>
      <c r="L86" s="149">
        <v>46203</v>
      </c>
      <c r="M86" s="149"/>
      <c r="N86" s="149">
        <v>46203</v>
      </c>
      <c r="O86" s="13" t="s">
        <v>486</v>
      </c>
      <c r="P86" s="13" t="s">
        <v>190</v>
      </c>
      <c r="Q86" s="38" t="b">
        <v>0</v>
      </c>
      <c r="R86" s="39" t="s">
        <v>91</v>
      </c>
      <c r="S86" s="27" t="s">
        <v>10</v>
      </c>
      <c r="T86" s="27"/>
      <c r="U86" s="27" t="str">
        <f>IF(TablaCore[[#This Row],[Fecha requerida]]="","N",IF(TablaCore[[#This Row],[Fecha requerida]]&lt;=DATE(2026,4,30),"S","N"))</f>
        <v>N</v>
      </c>
    </row>
    <row r="87" spans="2:21" ht="15" customHeight="1">
      <c r="B87" s="11">
        <v>85</v>
      </c>
      <c r="C87" s="115" t="s">
        <v>10</v>
      </c>
      <c r="D87" s="11" t="s">
        <v>35</v>
      </c>
      <c r="E87" s="28" t="s">
        <v>321</v>
      </c>
      <c r="F87" s="13" t="s">
        <v>483</v>
      </c>
      <c r="G87" s="13" t="s">
        <v>484</v>
      </c>
      <c r="H87" s="13" t="s">
        <v>485</v>
      </c>
      <c r="I87" s="146" t="s">
        <v>322</v>
      </c>
      <c r="J87" s="13" t="s">
        <v>41</v>
      </c>
      <c r="K87" s="37" t="s">
        <v>59</v>
      </c>
      <c r="L87" s="149">
        <v>46203</v>
      </c>
      <c r="M87" s="149"/>
      <c r="N87" s="149">
        <v>46203</v>
      </c>
      <c r="O87" s="13" t="s">
        <v>486</v>
      </c>
      <c r="P87" s="13" t="s">
        <v>190</v>
      </c>
      <c r="Q87" s="60" t="b">
        <v>0</v>
      </c>
      <c r="R87" s="39" t="s">
        <v>91</v>
      </c>
      <c r="S87" s="27" t="s">
        <v>10</v>
      </c>
      <c r="T87" s="27"/>
      <c r="U87" s="27" t="str">
        <f>IF(TablaCore[[#This Row],[Fecha requerida]]="","N",IF(TablaCore[[#This Row],[Fecha requerida]]&lt;=DATE(2026,4,30),"S","N"))</f>
        <v>N</v>
      </c>
    </row>
    <row r="88" spans="2:21" ht="15" customHeight="1">
      <c r="B88" s="11">
        <v>86</v>
      </c>
      <c r="C88" s="115" t="s">
        <v>10</v>
      </c>
      <c r="D88" s="11" t="s">
        <v>35</v>
      </c>
      <c r="E88" s="28" t="s">
        <v>323</v>
      </c>
      <c r="F88" s="13" t="s">
        <v>483</v>
      </c>
      <c r="G88" s="13" t="s">
        <v>484</v>
      </c>
      <c r="H88" s="13" t="s">
        <v>485</v>
      </c>
      <c r="I88" s="145" t="s">
        <v>324</v>
      </c>
      <c r="J88" s="13" t="s">
        <v>41</v>
      </c>
      <c r="K88" s="37" t="s">
        <v>59</v>
      </c>
      <c r="L88" s="149">
        <v>46203</v>
      </c>
      <c r="M88" s="149"/>
      <c r="N88" s="149">
        <v>46203</v>
      </c>
      <c r="O88" s="13" t="s">
        <v>486</v>
      </c>
      <c r="P88" s="13" t="s">
        <v>190</v>
      </c>
      <c r="Q88" s="38" t="b">
        <v>0</v>
      </c>
      <c r="R88" s="39" t="s">
        <v>91</v>
      </c>
      <c r="S88" s="27" t="s">
        <v>10</v>
      </c>
      <c r="T88" s="27"/>
      <c r="U88" s="27" t="str">
        <f>IF(TablaCore[[#This Row],[Fecha requerida]]="","N",IF(TablaCore[[#This Row],[Fecha requerida]]&lt;=DATE(2026,4,30),"S","N"))</f>
        <v>N</v>
      </c>
    </row>
    <row r="89" spans="2:21" ht="15" customHeight="1">
      <c r="B89" s="11">
        <v>87</v>
      </c>
      <c r="C89" s="115" t="s">
        <v>10</v>
      </c>
      <c r="D89" s="11" t="s">
        <v>35</v>
      </c>
      <c r="E89" s="28" t="s">
        <v>325</v>
      </c>
      <c r="F89" s="13" t="s">
        <v>483</v>
      </c>
      <c r="G89" s="13" t="s">
        <v>484</v>
      </c>
      <c r="H89" s="13" t="s">
        <v>485</v>
      </c>
      <c r="I89" s="146" t="s">
        <v>326</v>
      </c>
      <c r="J89" s="13" t="s">
        <v>41</v>
      </c>
      <c r="K89" s="37" t="s">
        <v>59</v>
      </c>
      <c r="L89" s="149">
        <v>46173</v>
      </c>
      <c r="M89" s="149"/>
      <c r="N89" s="149">
        <v>46173</v>
      </c>
      <c r="O89" s="13" t="s">
        <v>486</v>
      </c>
      <c r="P89" s="13" t="s">
        <v>190</v>
      </c>
      <c r="Q89" s="60" t="b">
        <v>0</v>
      </c>
      <c r="R89" s="39" t="s">
        <v>91</v>
      </c>
      <c r="S89" s="27" t="s">
        <v>10</v>
      </c>
      <c r="T89" s="27"/>
      <c r="U89" s="27" t="str">
        <f>IF(TablaCore[[#This Row],[Fecha requerida]]="","N",IF(TablaCore[[#This Row],[Fecha requerida]]&lt;=DATE(2026,4,30),"S","N"))</f>
        <v>N</v>
      </c>
    </row>
    <row r="90" spans="2:21" ht="15" customHeight="1">
      <c r="B90" s="11">
        <v>88</v>
      </c>
      <c r="C90" s="115" t="s">
        <v>10</v>
      </c>
      <c r="D90" s="11" t="s">
        <v>35</v>
      </c>
      <c r="E90" s="28" t="s">
        <v>327</v>
      </c>
      <c r="F90" s="13" t="s">
        <v>483</v>
      </c>
      <c r="G90" s="13" t="s">
        <v>484</v>
      </c>
      <c r="H90" s="13" t="s">
        <v>485</v>
      </c>
      <c r="I90" s="146" t="s">
        <v>328</v>
      </c>
      <c r="J90" s="13" t="s">
        <v>267</v>
      </c>
      <c r="K90" s="37" t="s">
        <v>59</v>
      </c>
      <c r="L90" s="149">
        <v>46312</v>
      </c>
      <c r="M90" s="149"/>
      <c r="N90" s="149">
        <v>46312</v>
      </c>
      <c r="O90" s="13" t="s">
        <v>486</v>
      </c>
      <c r="P90" s="13" t="s">
        <v>190</v>
      </c>
      <c r="Q90" s="60" t="b">
        <v>0</v>
      </c>
      <c r="R90" s="39" t="s">
        <v>91</v>
      </c>
      <c r="S90" s="27" t="s">
        <v>10</v>
      </c>
      <c r="T90" s="27"/>
      <c r="U90" s="27" t="str">
        <f>IF(TablaCore[[#This Row],[Fecha requerida]]="","N",IF(TablaCore[[#This Row],[Fecha requerida]]&lt;=DATE(2026,4,30),"S","N"))</f>
        <v>N</v>
      </c>
    </row>
    <row r="91" spans="2:21" ht="15" customHeight="1">
      <c r="B91" s="11">
        <v>89</v>
      </c>
      <c r="C91" s="115" t="s">
        <v>10</v>
      </c>
      <c r="D91" s="11" t="s">
        <v>35</v>
      </c>
      <c r="E91" s="28" t="s">
        <v>334</v>
      </c>
      <c r="F91" s="13" t="s">
        <v>483</v>
      </c>
      <c r="G91" s="13" t="s">
        <v>484</v>
      </c>
      <c r="H91" s="13" t="s">
        <v>485</v>
      </c>
      <c r="I91" s="145" t="s">
        <v>335</v>
      </c>
      <c r="J91" s="13" t="s">
        <v>41</v>
      </c>
      <c r="K91" s="37" t="s">
        <v>59</v>
      </c>
      <c r="L91" s="149">
        <v>46203</v>
      </c>
      <c r="M91" s="149"/>
      <c r="N91" s="149">
        <v>46203</v>
      </c>
      <c r="O91" s="13" t="s">
        <v>486</v>
      </c>
      <c r="P91" s="13" t="s">
        <v>190</v>
      </c>
      <c r="Q91" s="38" t="b">
        <v>0</v>
      </c>
      <c r="R91" s="39" t="s">
        <v>91</v>
      </c>
      <c r="S91" s="27" t="s">
        <v>10</v>
      </c>
      <c r="T91" s="27"/>
      <c r="U91" s="27" t="str">
        <f>IF(TablaCore[[#This Row],[Fecha requerida]]="","N",IF(TablaCore[[#This Row],[Fecha requerida]]&lt;=DATE(2026,4,30),"S","N"))</f>
        <v>N</v>
      </c>
    </row>
    <row r="92" spans="2:21" ht="15" customHeight="1">
      <c r="B92" s="11">
        <v>90</v>
      </c>
      <c r="C92" s="115" t="s">
        <v>10</v>
      </c>
      <c r="D92" s="11" t="s">
        <v>35</v>
      </c>
      <c r="E92" s="28" t="s">
        <v>336</v>
      </c>
      <c r="F92" s="13" t="s">
        <v>483</v>
      </c>
      <c r="G92" s="13" t="s">
        <v>484</v>
      </c>
      <c r="H92" s="13" t="s">
        <v>485</v>
      </c>
      <c r="I92" s="146" t="s">
        <v>337</v>
      </c>
      <c r="J92" s="13" t="s">
        <v>41</v>
      </c>
      <c r="K92" s="37" t="s">
        <v>59</v>
      </c>
      <c r="L92" s="149">
        <v>46203</v>
      </c>
      <c r="M92" s="149"/>
      <c r="N92" s="149">
        <v>46203</v>
      </c>
      <c r="O92" s="13" t="s">
        <v>486</v>
      </c>
      <c r="P92" s="13" t="s">
        <v>190</v>
      </c>
      <c r="Q92" s="60" t="b">
        <v>0</v>
      </c>
      <c r="R92" s="39" t="s">
        <v>91</v>
      </c>
      <c r="S92" s="27" t="s">
        <v>10</v>
      </c>
      <c r="T92" s="27"/>
      <c r="U92" s="27" t="str">
        <f>IF(TablaCore[[#This Row],[Fecha requerida]]="","N",IF(TablaCore[[#This Row],[Fecha requerida]]&lt;=DATE(2026,4,30),"S","N"))</f>
        <v>N</v>
      </c>
    </row>
    <row r="93" spans="2:21" ht="15" customHeight="1">
      <c r="B93" s="11">
        <v>91</v>
      </c>
      <c r="C93" s="115" t="s">
        <v>10</v>
      </c>
      <c r="D93" s="11" t="s">
        <v>35</v>
      </c>
      <c r="E93" s="28" t="s">
        <v>487</v>
      </c>
      <c r="F93" s="13" t="s">
        <v>483</v>
      </c>
      <c r="G93" s="13" t="s">
        <v>484</v>
      </c>
      <c r="H93" s="13" t="s">
        <v>485</v>
      </c>
      <c r="I93" s="146" t="s">
        <v>488</v>
      </c>
      <c r="J93" s="13" t="s">
        <v>41</v>
      </c>
      <c r="K93" s="37" t="s">
        <v>59</v>
      </c>
      <c r="L93" s="149">
        <v>46203</v>
      </c>
      <c r="M93" s="149"/>
      <c r="N93" s="149">
        <v>46203</v>
      </c>
      <c r="O93" s="13" t="s">
        <v>486</v>
      </c>
      <c r="P93" s="13" t="s">
        <v>190</v>
      </c>
      <c r="Q93" s="60" t="b">
        <v>0</v>
      </c>
      <c r="R93" s="39" t="s">
        <v>91</v>
      </c>
      <c r="S93" s="27" t="s">
        <v>10</v>
      </c>
      <c r="T93" s="27"/>
      <c r="U93" s="27" t="str">
        <f>IF(TablaCore[[#This Row],[Fecha requerida]]="","N",IF(TablaCore[[#This Row],[Fecha requerida]]&lt;=DATE(2026,4,30),"S","N"))</f>
        <v>N</v>
      </c>
    </row>
    <row r="94" spans="2:21" ht="15" customHeight="1">
      <c r="B94" s="11">
        <v>92</v>
      </c>
      <c r="C94" s="115" t="s">
        <v>10</v>
      </c>
      <c r="D94" s="11" t="s">
        <v>35</v>
      </c>
      <c r="E94" s="28" t="s">
        <v>350</v>
      </c>
      <c r="F94" s="13" t="s">
        <v>483</v>
      </c>
      <c r="G94" s="13" t="s">
        <v>484</v>
      </c>
      <c r="H94" s="13" t="s">
        <v>485</v>
      </c>
      <c r="I94" s="146" t="s">
        <v>351</v>
      </c>
      <c r="J94" s="13" t="s">
        <v>41</v>
      </c>
      <c r="K94" s="37" t="s">
        <v>59</v>
      </c>
      <c r="L94" s="149">
        <v>46203</v>
      </c>
      <c r="M94" s="149"/>
      <c r="N94" s="149">
        <v>46203</v>
      </c>
      <c r="O94" s="13" t="s">
        <v>486</v>
      </c>
      <c r="P94" s="13" t="s">
        <v>190</v>
      </c>
      <c r="Q94" s="60" t="b">
        <v>0</v>
      </c>
      <c r="R94" s="39" t="s">
        <v>91</v>
      </c>
      <c r="S94" s="27" t="s">
        <v>10</v>
      </c>
      <c r="T94" s="27"/>
      <c r="U94" s="27" t="str">
        <f>IF(TablaCore[[#This Row],[Fecha requerida]]="","N",IF(TablaCore[[#This Row],[Fecha requerida]]&lt;=DATE(2026,4,30),"S","N"))</f>
        <v>N</v>
      </c>
    </row>
    <row r="95" spans="2:21" ht="15" customHeight="1">
      <c r="B95" s="11">
        <v>93</v>
      </c>
      <c r="C95" s="115" t="s">
        <v>10</v>
      </c>
      <c r="D95" s="11" t="s">
        <v>35</v>
      </c>
      <c r="E95" s="28" t="s">
        <v>366</v>
      </c>
      <c r="F95" s="13" t="s">
        <v>483</v>
      </c>
      <c r="G95" s="13" t="s">
        <v>484</v>
      </c>
      <c r="H95" s="13" t="s">
        <v>485</v>
      </c>
      <c r="I95" s="145" t="s">
        <v>367</v>
      </c>
      <c r="J95" s="13" t="s">
        <v>41</v>
      </c>
      <c r="K95" s="37" t="s">
        <v>59</v>
      </c>
      <c r="L95" s="149">
        <v>46264</v>
      </c>
      <c r="M95" s="149"/>
      <c r="N95" s="149">
        <v>46264</v>
      </c>
      <c r="O95" s="13" t="s">
        <v>486</v>
      </c>
      <c r="P95" s="13" t="s">
        <v>190</v>
      </c>
      <c r="Q95" s="38" t="b">
        <v>0</v>
      </c>
      <c r="R95" s="39" t="s">
        <v>91</v>
      </c>
      <c r="S95" s="27" t="s">
        <v>10</v>
      </c>
      <c r="T95" s="27"/>
      <c r="U95" s="27" t="str">
        <f>IF(TablaCore[[#This Row],[Fecha requerida]]="","N",IF(TablaCore[[#This Row],[Fecha requerida]]&lt;=DATE(2026,4,30),"S","N"))</f>
        <v>N</v>
      </c>
    </row>
    <row r="96" spans="2:21" ht="15" customHeight="1">
      <c r="B96" s="11">
        <v>94</v>
      </c>
      <c r="C96" s="115" t="s">
        <v>10</v>
      </c>
      <c r="D96" s="11" t="s">
        <v>35</v>
      </c>
      <c r="E96" s="28" t="s">
        <v>368</v>
      </c>
      <c r="F96" s="13" t="s">
        <v>483</v>
      </c>
      <c r="G96" s="13" t="s">
        <v>484</v>
      </c>
      <c r="H96" s="13" t="s">
        <v>485</v>
      </c>
      <c r="I96" s="145" t="s">
        <v>369</v>
      </c>
      <c r="J96" s="13" t="s">
        <v>41</v>
      </c>
      <c r="K96" s="37" t="s">
        <v>59</v>
      </c>
      <c r="L96" s="149">
        <v>46172</v>
      </c>
      <c r="M96" s="149"/>
      <c r="N96" s="149">
        <v>46172</v>
      </c>
      <c r="O96" s="13" t="s">
        <v>486</v>
      </c>
      <c r="P96" s="13" t="s">
        <v>190</v>
      </c>
      <c r="Q96" s="38" t="b">
        <v>0</v>
      </c>
      <c r="R96" s="39" t="s">
        <v>91</v>
      </c>
      <c r="S96" s="27" t="s">
        <v>10</v>
      </c>
      <c r="T96" s="27"/>
      <c r="U96" s="27" t="str">
        <f>IF(TablaCore[[#This Row],[Fecha requerida]]="","N",IF(TablaCore[[#This Row],[Fecha requerida]]&lt;=DATE(2026,4,30),"S","N"))</f>
        <v>N</v>
      </c>
    </row>
    <row r="97" spans="2:21" ht="15" customHeight="1">
      <c r="B97" s="11">
        <v>95</v>
      </c>
      <c r="C97" s="115" t="s">
        <v>10</v>
      </c>
      <c r="D97" s="11" t="s">
        <v>35</v>
      </c>
      <c r="E97" s="28" t="s">
        <v>370</v>
      </c>
      <c r="F97" s="13" t="s">
        <v>483</v>
      </c>
      <c r="G97" s="13" t="s">
        <v>484</v>
      </c>
      <c r="H97" s="13" t="s">
        <v>485</v>
      </c>
      <c r="I97" s="146" t="s">
        <v>371</v>
      </c>
      <c r="J97" s="13" t="s">
        <v>41</v>
      </c>
      <c r="K97" s="37" t="s">
        <v>59</v>
      </c>
      <c r="L97" s="149">
        <v>46172</v>
      </c>
      <c r="M97" s="149"/>
      <c r="N97" s="149">
        <v>46172</v>
      </c>
      <c r="O97" s="13" t="s">
        <v>486</v>
      </c>
      <c r="P97" s="13" t="s">
        <v>190</v>
      </c>
      <c r="Q97" s="60" t="b">
        <v>0</v>
      </c>
      <c r="R97" s="39" t="s">
        <v>91</v>
      </c>
      <c r="S97" s="27" t="s">
        <v>10</v>
      </c>
      <c r="T97" s="27"/>
      <c r="U97" s="27" t="str">
        <f>IF(TablaCore[[#This Row],[Fecha requerida]]="","N",IF(TablaCore[[#This Row],[Fecha requerida]]&lt;=DATE(2026,4,30),"S","N"))</f>
        <v>N</v>
      </c>
    </row>
    <row r="98" spans="2:21" ht="15" customHeight="1">
      <c r="B98" s="11">
        <v>96</v>
      </c>
      <c r="C98" s="115" t="s">
        <v>10</v>
      </c>
      <c r="D98" s="11" t="s">
        <v>35</v>
      </c>
      <c r="E98" s="28" t="s">
        <v>380</v>
      </c>
      <c r="F98" s="13" t="s">
        <v>483</v>
      </c>
      <c r="G98" s="13" t="s">
        <v>484</v>
      </c>
      <c r="H98" s="13" t="s">
        <v>485</v>
      </c>
      <c r="I98" s="146" t="s">
        <v>381</v>
      </c>
      <c r="J98" s="13" t="s">
        <v>267</v>
      </c>
      <c r="K98" s="37" t="s">
        <v>59</v>
      </c>
      <c r="L98" s="149">
        <v>46172</v>
      </c>
      <c r="M98" s="149"/>
      <c r="N98" s="149">
        <v>46172</v>
      </c>
      <c r="O98" s="13" t="s">
        <v>486</v>
      </c>
      <c r="P98" s="13" t="s">
        <v>190</v>
      </c>
      <c r="Q98" s="60" t="b">
        <v>0</v>
      </c>
      <c r="R98" s="39" t="s">
        <v>91</v>
      </c>
      <c r="S98" s="27" t="s">
        <v>10</v>
      </c>
      <c r="T98" s="27"/>
      <c r="U98" s="27" t="str">
        <f>IF(TablaCore[[#This Row],[Fecha requerida]]="","N",IF(TablaCore[[#This Row],[Fecha requerida]]&lt;=DATE(2026,4,30),"S","N"))</f>
        <v>N</v>
      </c>
    </row>
    <row r="99" spans="2:21" ht="15" customHeight="1">
      <c r="B99" s="11">
        <v>97</v>
      </c>
      <c r="C99" s="115" t="s">
        <v>10</v>
      </c>
      <c r="D99" s="11" t="s">
        <v>35</v>
      </c>
      <c r="E99" s="28" t="s">
        <v>384</v>
      </c>
      <c r="F99" s="13" t="s">
        <v>483</v>
      </c>
      <c r="G99" s="13" t="s">
        <v>484</v>
      </c>
      <c r="H99" s="13" t="s">
        <v>485</v>
      </c>
      <c r="I99" s="36" t="s">
        <v>385</v>
      </c>
      <c r="J99" s="13" t="s">
        <v>41</v>
      </c>
      <c r="K99" s="37" t="s">
        <v>59</v>
      </c>
      <c r="L99" s="149">
        <v>46203</v>
      </c>
      <c r="M99" s="149"/>
      <c r="N99" s="149">
        <v>46203</v>
      </c>
      <c r="O99" s="13" t="s">
        <v>486</v>
      </c>
      <c r="P99" s="13" t="s">
        <v>190</v>
      </c>
      <c r="Q99" s="60" t="b">
        <v>0</v>
      </c>
      <c r="R99" s="39" t="s">
        <v>91</v>
      </c>
      <c r="S99" s="27" t="s">
        <v>10</v>
      </c>
      <c r="T99" s="27"/>
      <c r="U99" s="27" t="str">
        <f>IF(TablaCore[[#This Row],[Fecha requerida]]="","N",IF(TablaCore[[#This Row],[Fecha requerida]]&lt;=DATE(2026,4,30),"S","N"))</f>
        <v>N</v>
      </c>
    </row>
    <row r="100" spans="2:21" ht="15" customHeight="1">
      <c r="B100" s="11">
        <v>98</v>
      </c>
      <c r="C100" s="115" t="s">
        <v>10</v>
      </c>
      <c r="D100" s="11" t="s">
        <v>35</v>
      </c>
      <c r="E100" s="28" t="s">
        <v>386</v>
      </c>
      <c r="F100" s="13" t="s">
        <v>483</v>
      </c>
      <c r="G100" s="13" t="s">
        <v>484</v>
      </c>
      <c r="H100" s="13" t="s">
        <v>485</v>
      </c>
      <c r="I100" s="36" t="s">
        <v>387</v>
      </c>
      <c r="J100" s="13" t="s">
        <v>267</v>
      </c>
      <c r="K100" s="37" t="s">
        <v>59</v>
      </c>
      <c r="L100" s="149">
        <v>46172</v>
      </c>
      <c r="M100" s="149"/>
      <c r="N100" s="149">
        <v>46172</v>
      </c>
      <c r="O100" s="13" t="s">
        <v>486</v>
      </c>
      <c r="P100" s="13" t="s">
        <v>190</v>
      </c>
      <c r="Q100" s="60" t="b">
        <v>0</v>
      </c>
      <c r="R100" s="39" t="s">
        <v>91</v>
      </c>
      <c r="S100" s="27" t="s">
        <v>10</v>
      </c>
      <c r="T100" s="27"/>
      <c r="U100" s="27" t="str">
        <f>IF(TablaCore[[#This Row],[Fecha requerida]]="","N",IF(TablaCore[[#This Row],[Fecha requerida]]&lt;=DATE(2026,4,30),"S","N"))</f>
        <v>N</v>
      </c>
    </row>
    <row r="101" spans="2:21" ht="15" customHeight="1">
      <c r="B101" s="11">
        <v>99</v>
      </c>
      <c r="C101" s="115" t="s">
        <v>10</v>
      </c>
      <c r="D101" s="11" t="s">
        <v>35</v>
      </c>
      <c r="E101" s="28" t="s">
        <v>449</v>
      </c>
      <c r="F101" s="13" t="s">
        <v>483</v>
      </c>
      <c r="G101" s="13" t="s">
        <v>484</v>
      </c>
      <c r="H101" s="13" t="s">
        <v>485</v>
      </c>
      <c r="I101" s="36" t="s">
        <v>450</v>
      </c>
      <c r="J101" s="13" t="s">
        <v>41</v>
      </c>
      <c r="K101" s="37" t="s">
        <v>59</v>
      </c>
      <c r="L101" s="149">
        <v>46173</v>
      </c>
      <c r="M101" s="149"/>
      <c r="N101" s="149">
        <v>46173</v>
      </c>
      <c r="O101" s="13" t="s">
        <v>486</v>
      </c>
      <c r="P101" s="13" t="s">
        <v>190</v>
      </c>
      <c r="Q101" s="38" t="b">
        <v>0</v>
      </c>
      <c r="R101" s="39" t="s">
        <v>91</v>
      </c>
      <c r="S101" s="27" t="s">
        <v>10</v>
      </c>
      <c r="T101" s="27"/>
      <c r="U101" s="27" t="str">
        <f>IF(TablaCore[[#This Row],[Fecha requerida]]="","N",IF(TablaCore[[#This Row],[Fecha requerida]]&lt;=DATE(2026,4,30),"S","N"))</f>
        <v>N</v>
      </c>
    </row>
    <row r="102" spans="2:21" ht="15" customHeight="1">
      <c r="B102" s="11">
        <v>100</v>
      </c>
      <c r="C102" s="115" t="s">
        <v>10</v>
      </c>
      <c r="D102" s="11" t="s">
        <v>35</v>
      </c>
      <c r="E102" s="28" t="s">
        <v>451</v>
      </c>
      <c r="F102" s="13" t="s">
        <v>483</v>
      </c>
      <c r="G102" s="13" t="s">
        <v>484</v>
      </c>
      <c r="H102" s="13" t="s">
        <v>485</v>
      </c>
      <c r="I102" s="36" t="s">
        <v>452</v>
      </c>
      <c r="J102" s="13" t="s">
        <v>41</v>
      </c>
      <c r="K102" s="37" t="s">
        <v>59</v>
      </c>
      <c r="L102" s="149">
        <v>46173</v>
      </c>
      <c r="M102" s="149"/>
      <c r="N102" s="149">
        <v>46173</v>
      </c>
      <c r="O102" s="13" t="s">
        <v>486</v>
      </c>
      <c r="P102" s="13" t="s">
        <v>190</v>
      </c>
      <c r="Q102" s="60" t="b">
        <v>0</v>
      </c>
      <c r="R102" s="39" t="s">
        <v>91</v>
      </c>
      <c r="S102" s="27" t="s">
        <v>10</v>
      </c>
      <c r="T102" s="27"/>
      <c r="U102" s="27" t="str">
        <f>IF(TablaCore[[#This Row],[Fecha requerida]]="","N",IF(TablaCore[[#This Row],[Fecha requerida]]&lt;=DATE(2026,4,30),"S","N"))</f>
        <v>N</v>
      </c>
    </row>
    <row r="103" spans="2:21" ht="15" customHeight="1">
      <c r="B103" s="11">
        <v>101</v>
      </c>
      <c r="C103" s="115" t="s">
        <v>10</v>
      </c>
      <c r="D103" s="11" t="s">
        <v>35</v>
      </c>
      <c r="E103" s="28" t="s">
        <v>453</v>
      </c>
      <c r="F103" s="13" t="s">
        <v>483</v>
      </c>
      <c r="G103" s="13" t="s">
        <v>484</v>
      </c>
      <c r="H103" s="13" t="s">
        <v>485</v>
      </c>
      <c r="I103" s="36" t="s">
        <v>454</v>
      </c>
      <c r="J103" s="13" t="s">
        <v>41</v>
      </c>
      <c r="K103" s="37" t="s">
        <v>59</v>
      </c>
      <c r="L103" s="149">
        <v>46173</v>
      </c>
      <c r="M103" s="149"/>
      <c r="N103" s="149">
        <v>46173</v>
      </c>
      <c r="O103" s="13" t="s">
        <v>486</v>
      </c>
      <c r="P103" s="13" t="s">
        <v>190</v>
      </c>
      <c r="Q103" s="38" t="b">
        <v>0</v>
      </c>
      <c r="R103" s="39" t="s">
        <v>91</v>
      </c>
      <c r="S103" s="27" t="s">
        <v>10</v>
      </c>
      <c r="T103" s="27"/>
      <c r="U103" s="27" t="str">
        <f>IF(TablaCore[[#This Row],[Fecha requerida]]="","N",IF(TablaCore[[#This Row],[Fecha requerida]]&lt;=DATE(2026,4,30),"S","N"))</f>
        <v>N</v>
      </c>
    </row>
    <row r="104" spans="2:21" ht="15" customHeight="1">
      <c r="B104" s="11">
        <v>102</v>
      </c>
      <c r="C104" s="115" t="s">
        <v>10</v>
      </c>
      <c r="D104" s="11" t="s">
        <v>35</v>
      </c>
      <c r="E104" s="28" t="s">
        <v>455</v>
      </c>
      <c r="F104" s="13" t="s">
        <v>483</v>
      </c>
      <c r="G104" s="13" t="s">
        <v>484</v>
      </c>
      <c r="H104" s="13" t="s">
        <v>485</v>
      </c>
      <c r="I104" s="36" t="s">
        <v>456</v>
      </c>
      <c r="J104" s="13" t="s">
        <v>41</v>
      </c>
      <c r="K104" s="37" t="s">
        <v>59</v>
      </c>
      <c r="L104" s="149">
        <v>46173</v>
      </c>
      <c r="M104" s="149"/>
      <c r="N104" s="149">
        <v>46173</v>
      </c>
      <c r="O104" s="13" t="s">
        <v>486</v>
      </c>
      <c r="P104" s="13" t="s">
        <v>190</v>
      </c>
      <c r="Q104" s="38" t="b">
        <v>0</v>
      </c>
      <c r="R104" s="39" t="s">
        <v>91</v>
      </c>
      <c r="S104" s="27" t="s">
        <v>10</v>
      </c>
      <c r="T104" s="27"/>
      <c r="U104" s="27" t="str">
        <f>IF(TablaCore[[#This Row],[Fecha requerida]]="","N",IF(TablaCore[[#This Row],[Fecha requerida]]&lt;=DATE(2026,4,30),"S","N"))</f>
        <v>N</v>
      </c>
    </row>
    <row r="105" spans="2:21" ht="15" customHeight="1">
      <c r="B105" s="11">
        <v>103</v>
      </c>
      <c r="C105" s="115" t="s">
        <v>10</v>
      </c>
      <c r="D105" s="11" t="s">
        <v>35</v>
      </c>
      <c r="E105" s="28" t="s">
        <v>457</v>
      </c>
      <c r="F105" s="13" t="s">
        <v>483</v>
      </c>
      <c r="G105" s="13" t="s">
        <v>484</v>
      </c>
      <c r="H105" s="13" t="s">
        <v>485</v>
      </c>
      <c r="I105" s="36" t="s">
        <v>458</v>
      </c>
      <c r="J105" s="13" t="s">
        <v>41</v>
      </c>
      <c r="K105" s="37" t="s">
        <v>59</v>
      </c>
      <c r="L105" s="149">
        <v>46173</v>
      </c>
      <c r="M105" s="149"/>
      <c r="N105" s="149">
        <v>46173</v>
      </c>
      <c r="O105" s="13" t="s">
        <v>486</v>
      </c>
      <c r="P105" s="13" t="s">
        <v>190</v>
      </c>
      <c r="Q105" s="60" t="b">
        <v>0</v>
      </c>
      <c r="R105" s="39" t="s">
        <v>91</v>
      </c>
      <c r="S105" s="27" t="s">
        <v>10</v>
      </c>
      <c r="T105" s="27"/>
      <c r="U105" s="27" t="str">
        <f>IF(TablaCore[[#This Row],[Fecha requerida]]="","N",IF(TablaCore[[#This Row],[Fecha requerida]]&lt;=DATE(2026,4,30),"S","N"))</f>
        <v>N</v>
      </c>
    </row>
    <row r="106" spans="2:21" ht="15" customHeight="1">
      <c r="B106" s="11">
        <v>104</v>
      </c>
      <c r="C106" s="115" t="s">
        <v>10</v>
      </c>
      <c r="D106" s="11" t="s">
        <v>35</v>
      </c>
      <c r="E106" s="28" t="s">
        <v>463</v>
      </c>
      <c r="F106" s="13" t="s">
        <v>483</v>
      </c>
      <c r="G106" s="13" t="s">
        <v>484</v>
      </c>
      <c r="H106" s="13" t="s">
        <v>485</v>
      </c>
      <c r="I106" s="36" t="s">
        <v>464</v>
      </c>
      <c r="J106" s="13" t="s">
        <v>267</v>
      </c>
      <c r="K106" s="37" t="s">
        <v>59</v>
      </c>
      <c r="L106" s="149">
        <v>46173</v>
      </c>
      <c r="M106" s="149"/>
      <c r="N106" s="149">
        <v>46173</v>
      </c>
      <c r="O106" s="13" t="s">
        <v>486</v>
      </c>
      <c r="P106" s="13" t="s">
        <v>190</v>
      </c>
      <c r="Q106" s="60" t="b">
        <v>0</v>
      </c>
      <c r="R106" s="39" t="s">
        <v>91</v>
      </c>
      <c r="S106" s="27" t="s">
        <v>10</v>
      </c>
      <c r="T106" s="27"/>
      <c r="U106" s="27" t="str">
        <f>IF(TablaCore[[#This Row],[Fecha requerida]]="","N",IF(TablaCore[[#This Row],[Fecha requerida]]&lt;=DATE(2026,4,30),"S","N"))</f>
        <v>N</v>
      </c>
    </row>
    <row r="107" spans="2:21" ht="15" customHeight="1">
      <c r="B107" s="11">
        <v>105</v>
      </c>
      <c r="C107" s="115" t="s">
        <v>10</v>
      </c>
      <c r="D107" s="11" t="s">
        <v>35</v>
      </c>
      <c r="E107" s="28" t="s">
        <v>467</v>
      </c>
      <c r="F107" s="13" t="s">
        <v>483</v>
      </c>
      <c r="G107" s="13" t="s">
        <v>484</v>
      </c>
      <c r="H107" s="13" t="s">
        <v>485</v>
      </c>
      <c r="I107" s="36" t="s">
        <v>468</v>
      </c>
      <c r="J107" s="13" t="s">
        <v>267</v>
      </c>
      <c r="K107" s="37" t="s">
        <v>59</v>
      </c>
      <c r="L107" s="149">
        <v>46173</v>
      </c>
      <c r="M107" s="149"/>
      <c r="N107" s="149">
        <v>46173</v>
      </c>
      <c r="O107" s="13" t="s">
        <v>486</v>
      </c>
      <c r="P107" s="13" t="s">
        <v>190</v>
      </c>
      <c r="Q107" s="60" t="b">
        <v>0</v>
      </c>
      <c r="R107" s="39" t="s">
        <v>91</v>
      </c>
      <c r="S107" s="27" t="s">
        <v>10</v>
      </c>
      <c r="T107" s="27"/>
      <c r="U107" s="27" t="str">
        <f>IF(TablaCore[[#This Row],[Fecha requerida]]="","N",IF(TablaCore[[#This Row],[Fecha requerida]]&lt;=DATE(2026,4,30),"S","N"))</f>
        <v>N</v>
      </c>
    </row>
    <row r="108" spans="2:21" ht="15" customHeight="1">
      <c r="B108" s="11">
        <v>106</v>
      </c>
      <c r="C108" s="115" t="s">
        <v>10</v>
      </c>
      <c r="D108" s="11" t="s">
        <v>35</v>
      </c>
      <c r="E108" s="28" t="s">
        <v>479</v>
      </c>
      <c r="F108" s="13" t="s">
        <v>483</v>
      </c>
      <c r="G108" s="13" t="s">
        <v>484</v>
      </c>
      <c r="H108" s="13" t="s">
        <v>485</v>
      </c>
      <c r="I108" s="36" t="s">
        <v>480</v>
      </c>
      <c r="J108" s="13" t="s">
        <v>267</v>
      </c>
      <c r="K108" s="37" t="s">
        <v>59</v>
      </c>
      <c r="L108" s="149">
        <v>46173</v>
      </c>
      <c r="M108" s="149"/>
      <c r="N108" s="149">
        <v>46173</v>
      </c>
      <c r="O108" s="13" t="s">
        <v>486</v>
      </c>
      <c r="P108" s="13" t="s">
        <v>190</v>
      </c>
      <c r="Q108" s="60" t="b">
        <v>0</v>
      </c>
      <c r="R108" s="39" t="s">
        <v>91</v>
      </c>
      <c r="S108" s="27" t="s">
        <v>10</v>
      </c>
      <c r="T108" s="27"/>
      <c r="U108" s="27" t="str">
        <f>IF(TablaCore[[#This Row],[Fecha requerida]]="","N",IF(TablaCore[[#This Row],[Fecha requerida]]&lt;=DATE(2026,4,30),"S","N"))</f>
        <v>N</v>
      </c>
    </row>
    <row r="109" spans="2:21" ht="15" customHeight="1">
      <c r="B109" s="11">
        <v>107</v>
      </c>
      <c r="C109" s="115" t="s">
        <v>10</v>
      </c>
      <c r="D109" s="11" t="s">
        <v>35</v>
      </c>
      <c r="E109" s="28" t="s">
        <v>315</v>
      </c>
      <c r="F109" s="13" t="s">
        <v>483</v>
      </c>
      <c r="G109" s="13" t="s">
        <v>489</v>
      </c>
      <c r="H109" s="13" t="s">
        <v>490</v>
      </c>
      <c r="I109" s="145" t="s">
        <v>319</v>
      </c>
      <c r="J109" s="13" t="s">
        <v>41</v>
      </c>
      <c r="K109" s="37" t="s">
        <v>59</v>
      </c>
      <c r="L109" s="149">
        <v>46203</v>
      </c>
      <c r="M109" s="149"/>
      <c r="N109" s="149">
        <v>46203</v>
      </c>
      <c r="O109" s="13" t="s">
        <v>491</v>
      </c>
      <c r="P109" s="13" t="s">
        <v>190</v>
      </c>
      <c r="Q109" s="38" t="b">
        <v>0</v>
      </c>
      <c r="R109" s="39" t="s">
        <v>91</v>
      </c>
      <c r="S109" s="27" t="s">
        <v>10</v>
      </c>
      <c r="T109" s="27"/>
      <c r="U109" s="27" t="str">
        <f>IF(TablaCore[[#This Row],[Fecha requerida]]="","N",IF(TablaCore[[#This Row],[Fecha requerida]]&lt;=DATE(2026,4,30),"S","N"))</f>
        <v>N</v>
      </c>
    </row>
    <row r="110" spans="2:21" ht="15" customHeight="1">
      <c r="B110" s="11">
        <v>108</v>
      </c>
      <c r="C110" s="115" t="s">
        <v>10</v>
      </c>
      <c r="D110" s="11" t="s">
        <v>35</v>
      </c>
      <c r="E110" s="28" t="s">
        <v>321</v>
      </c>
      <c r="F110" s="13" t="s">
        <v>483</v>
      </c>
      <c r="G110" s="13" t="s">
        <v>489</v>
      </c>
      <c r="H110" s="13" t="s">
        <v>490</v>
      </c>
      <c r="I110" s="146" t="s">
        <v>322</v>
      </c>
      <c r="J110" s="13" t="s">
        <v>41</v>
      </c>
      <c r="K110" s="37" t="s">
        <v>59</v>
      </c>
      <c r="L110" s="149">
        <v>46203</v>
      </c>
      <c r="M110" s="149"/>
      <c r="N110" s="149">
        <v>46203</v>
      </c>
      <c r="O110" s="13" t="s">
        <v>491</v>
      </c>
      <c r="P110" s="13" t="s">
        <v>190</v>
      </c>
      <c r="Q110" s="60" t="b">
        <v>0</v>
      </c>
      <c r="R110" s="39" t="s">
        <v>91</v>
      </c>
      <c r="S110" s="27" t="s">
        <v>10</v>
      </c>
      <c r="T110" s="27"/>
      <c r="U110" s="27" t="str">
        <f>IF(TablaCore[[#This Row],[Fecha requerida]]="","N",IF(TablaCore[[#This Row],[Fecha requerida]]&lt;=DATE(2026,4,30),"S","N"))</f>
        <v>N</v>
      </c>
    </row>
    <row r="111" spans="2:21" ht="15" customHeight="1">
      <c r="B111" s="11">
        <v>109</v>
      </c>
      <c r="C111" s="115" t="s">
        <v>10</v>
      </c>
      <c r="D111" s="11" t="s">
        <v>35</v>
      </c>
      <c r="E111" s="28" t="s">
        <v>323</v>
      </c>
      <c r="F111" s="13" t="s">
        <v>483</v>
      </c>
      <c r="G111" s="13" t="s">
        <v>489</v>
      </c>
      <c r="H111" s="13" t="s">
        <v>490</v>
      </c>
      <c r="I111" s="145" t="s">
        <v>324</v>
      </c>
      <c r="J111" s="13" t="s">
        <v>41</v>
      </c>
      <c r="K111" s="37" t="s">
        <v>59</v>
      </c>
      <c r="L111" s="149">
        <v>46203</v>
      </c>
      <c r="M111" s="149"/>
      <c r="N111" s="149">
        <v>46203</v>
      </c>
      <c r="O111" s="13" t="s">
        <v>491</v>
      </c>
      <c r="P111" s="13" t="s">
        <v>190</v>
      </c>
      <c r="Q111" s="38" t="b">
        <v>0</v>
      </c>
      <c r="R111" s="39" t="s">
        <v>91</v>
      </c>
      <c r="S111" s="27" t="s">
        <v>10</v>
      </c>
      <c r="T111" s="27"/>
      <c r="U111" s="27" t="str">
        <f>IF(TablaCore[[#This Row],[Fecha requerida]]="","N",IF(TablaCore[[#This Row],[Fecha requerida]]&lt;=DATE(2026,4,30),"S","N"))</f>
        <v>N</v>
      </c>
    </row>
    <row r="112" spans="2:21" ht="15" customHeight="1">
      <c r="B112" s="11">
        <v>110</v>
      </c>
      <c r="C112" s="115" t="s">
        <v>10</v>
      </c>
      <c r="D112" s="11" t="s">
        <v>35</v>
      </c>
      <c r="E112" s="28" t="s">
        <v>325</v>
      </c>
      <c r="F112" s="13" t="s">
        <v>483</v>
      </c>
      <c r="G112" s="13" t="s">
        <v>489</v>
      </c>
      <c r="H112" s="13" t="s">
        <v>490</v>
      </c>
      <c r="I112" s="146" t="s">
        <v>326</v>
      </c>
      <c r="J112" s="13" t="s">
        <v>41</v>
      </c>
      <c r="K112" s="37" t="s">
        <v>59</v>
      </c>
      <c r="L112" s="149">
        <v>46173</v>
      </c>
      <c r="M112" s="149"/>
      <c r="N112" s="149">
        <v>46173</v>
      </c>
      <c r="O112" s="13" t="s">
        <v>491</v>
      </c>
      <c r="P112" s="13" t="s">
        <v>190</v>
      </c>
      <c r="Q112" s="60" t="b">
        <v>0</v>
      </c>
      <c r="R112" s="39" t="s">
        <v>91</v>
      </c>
      <c r="S112" s="27" t="s">
        <v>10</v>
      </c>
      <c r="T112" s="27"/>
      <c r="U112" s="27" t="str">
        <f>IF(TablaCore[[#This Row],[Fecha requerida]]="","N",IF(TablaCore[[#This Row],[Fecha requerida]]&lt;=DATE(2026,4,30),"S","N"))</f>
        <v>N</v>
      </c>
    </row>
    <row r="113" spans="2:21" ht="15" customHeight="1">
      <c r="B113" s="11">
        <v>111</v>
      </c>
      <c r="C113" s="115" t="s">
        <v>10</v>
      </c>
      <c r="D113" s="11" t="s">
        <v>35</v>
      </c>
      <c r="E113" s="28" t="s">
        <v>327</v>
      </c>
      <c r="F113" s="13" t="s">
        <v>483</v>
      </c>
      <c r="G113" s="13" t="s">
        <v>489</v>
      </c>
      <c r="H113" s="13" t="s">
        <v>490</v>
      </c>
      <c r="I113" s="146" t="s">
        <v>328</v>
      </c>
      <c r="J113" s="13" t="s">
        <v>267</v>
      </c>
      <c r="K113" s="37" t="s">
        <v>59</v>
      </c>
      <c r="L113" s="149">
        <v>46312</v>
      </c>
      <c r="M113" s="149"/>
      <c r="N113" s="149">
        <v>46312</v>
      </c>
      <c r="O113" s="13" t="s">
        <v>491</v>
      </c>
      <c r="P113" s="13" t="s">
        <v>190</v>
      </c>
      <c r="Q113" s="60" t="b">
        <v>0</v>
      </c>
      <c r="R113" s="39" t="s">
        <v>91</v>
      </c>
      <c r="S113" s="27" t="s">
        <v>10</v>
      </c>
      <c r="T113" s="27"/>
      <c r="U113" s="27" t="str">
        <f>IF(TablaCore[[#This Row],[Fecha requerida]]="","N",IF(TablaCore[[#This Row],[Fecha requerida]]&lt;=DATE(2026,4,30),"S","N"))</f>
        <v>N</v>
      </c>
    </row>
    <row r="114" spans="2:21" ht="15" customHeight="1">
      <c r="B114" s="11">
        <v>112</v>
      </c>
      <c r="C114" s="115" t="s">
        <v>10</v>
      </c>
      <c r="D114" s="11" t="s">
        <v>35</v>
      </c>
      <c r="E114" s="28" t="s">
        <v>334</v>
      </c>
      <c r="F114" s="13" t="s">
        <v>483</v>
      </c>
      <c r="G114" s="13" t="s">
        <v>489</v>
      </c>
      <c r="H114" s="13" t="s">
        <v>490</v>
      </c>
      <c r="I114" s="145" t="s">
        <v>335</v>
      </c>
      <c r="J114" s="13" t="s">
        <v>41</v>
      </c>
      <c r="K114" s="37" t="s">
        <v>59</v>
      </c>
      <c r="L114" s="149">
        <v>46203</v>
      </c>
      <c r="M114" s="149"/>
      <c r="N114" s="149">
        <v>46203</v>
      </c>
      <c r="O114" s="13" t="s">
        <v>491</v>
      </c>
      <c r="P114" s="13" t="s">
        <v>190</v>
      </c>
      <c r="Q114" s="38" t="b">
        <v>0</v>
      </c>
      <c r="R114" s="39" t="s">
        <v>91</v>
      </c>
      <c r="S114" s="27" t="s">
        <v>10</v>
      </c>
      <c r="T114" s="27"/>
      <c r="U114" s="27" t="str">
        <f>IF(TablaCore[[#This Row],[Fecha requerida]]="","N",IF(TablaCore[[#This Row],[Fecha requerida]]&lt;=DATE(2026,4,30),"S","N"))</f>
        <v>N</v>
      </c>
    </row>
    <row r="115" spans="2:21" ht="15" customHeight="1">
      <c r="B115" s="11">
        <v>113</v>
      </c>
      <c r="C115" s="115" t="s">
        <v>10</v>
      </c>
      <c r="D115" s="11" t="s">
        <v>35</v>
      </c>
      <c r="E115" s="28" t="s">
        <v>336</v>
      </c>
      <c r="F115" s="13" t="s">
        <v>483</v>
      </c>
      <c r="G115" s="13" t="s">
        <v>489</v>
      </c>
      <c r="H115" s="13" t="s">
        <v>490</v>
      </c>
      <c r="I115" s="146" t="s">
        <v>337</v>
      </c>
      <c r="J115" s="13" t="s">
        <v>41</v>
      </c>
      <c r="K115" s="37" t="s">
        <v>59</v>
      </c>
      <c r="L115" s="149">
        <v>46203</v>
      </c>
      <c r="M115" s="149"/>
      <c r="N115" s="149">
        <v>46203</v>
      </c>
      <c r="O115" s="13" t="s">
        <v>491</v>
      </c>
      <c r="P115" s="13" t="s">
        <v>190</v>
      </c>
      <c r="Q115" s="60" t="b">
        <v>0</v>
      </c>
      <c r="R115" s="39" t="s">
        <v>91</v>
      </c>
      <c r="S115" s="27" t="s">
        <v>10</v>
      </c>
      <c r="T115" s="27"/>
      <c r="U115" s="27" t="str">
        <f>IF(TablaCore[[#This Row],[Fecha requerida]]="","N",IF(TablaCore[[#This Row],[Fecha requerida]]&lt;=DATE(2026,4,30),"S","N"))</f>
        <v>N</v>
      </c>
    </row>
    <row r="116" spans="2:21" ht="15" customHeight="1">
      <c r="B116" s="11">
        <v>114</v>
      </c>
      <c r="C116" s="115" t="s">
        <v>10</v>
      </c>
      <c r="D116" s="11" t="s">
        <v>35</v>
      </c>
      <c r="E116" s="28" t="s">
        <v>342</v>
      </c>
      <c r="F116" s="13" t="s">
        <v>483</v>
      </c>
      <c r="G116" s="13" t="s">
        <v>489</v>
      </c>
      <c r="H116" s="13" t="s">
        <v>490</v>
      </c>
      <c r="I116" s="145" t="s">
        <v>343</v>
      </c>
      <c r="J116" s="13" t="s">
        <v>41</v>
      </c>
      <c r="K116" s="37" t="s">
        <v>59</v>
      </c>
      <c r="L116" s="149">
        <v>46203</v>
      </c>
      <c r="M116" s="149"/>
      <c r="N116" s="149">
        <v>46203</v>
      </c>
      <c r="O116" s="13" t="s">
        <v>491</v>
      </c>
      <c r="P116" s="13" t="s">
        <v>190</v>
      </c>
      <c r="Q116" s="38" t="b">
        <v>0</v>
      </c>
      <c r="R116" s="39" t="s">
        <v>91</v>
      </c>
      <c r="S116" s="27" t="s">
        <v>10</v>
      </c>
      <c r="T116" s="27"/>
      <c r="U116" s="27" t="str">
        <f>IF(TablaCore[[#This Row],[Fecha requerida]]="","N",IF(TablaCore[[#This Row],[Fecha requerida]]&lt;=DATE(2026,4,30),"S","N"))</f>
        <v>N</v>
      </c>
    </row>
    <row r="117" spans="2:21" ht="15" customHeight="1">
      <c r="B117" s="11">
        <v>115</v>
      </c>
      <c r="C117" s="115" t="s">
        <v>10</v>
      </c>
      <c r="D117" s="11" t="s">
        <v>35</v>
      </c>
      <c r="E117" s="28" t="s">
        <v>344</v>
      </c>
      <c r="F117" s="13" t="s">
        <v>483</v>
      </c>
      <c r="G117" s="13" t="s">
        <v>489</v>
      </c>
      <c r="H117" s="13" t="s">
        <v>490</v>
      </c>
      <c r="I117" s="146" t="s">
        <v>345</v>
      </c>
      <c r="J117" s="13" t="s">
        <v>41</v>
      </c>
      <c r="K117" s="37" t="s">
        <v>59</v>
      </c>
      <c r="L117" s="149">
        <v>46203</v>
      </c>
      <c r="M117" s="149"/>
      <c r="N117" s="149">
        <v>46203</v>
      </c>
      <c r="O117" s="13" t="s">
        <v>491</v>
      </c>
      <c r="P117" s="13" t="s">
        <v>190</v>
      </c>
      <c r="Q117" s="60" t="b">
        <v>0</v>
      </c>
      <c r="R117" s="39" t="s">
        <v>91</v>
      </c>
      <c r="S117" s="27" t="s">
        <v>10</v>
      </c>
      <c r="T117" s="27"/>
      <c r="U117" s="27" t="str">
        <f>IF(TablaCore[[#This Row],[Fecha requerida]]="","N",IF(TablaCore[[#This Row],[Fecha requerida]]&lt;=DATE(2026,4,30),"S","N"))</f>
        <v>N</v>
      </c>
    </row>
    <row r="118" spans="2:21" ht="15" customHeight="1">
      <c r="B118" s="11">
        <v>116</v>
      </c>
      <c r="C118" s="115" t="s">
        <v>10</v>
      </c>
      <c r="D118" s="11" t="s">
        <v>35</v>
      </c>
      <c r="E118" s="28" t="s">
        <v>487</v>
      </c>
      <c r="F118" s="13" t="s">
        <v>483</v>
      </c>
      <c r="G118" s="13" t="s">
        <v>489</v>
      </c>
      <c r="H118" s="13" t="s">
        <v>490</v>
      </c>
      <c r="I118" s="146" t="s">
        <v>488</v>
      </c>
      <c r="J118" s="13" t="s">
        <v>41</v>
      </c>
      <c r="K118" s="37" t="s">
        <v>59</v>
      </c>
      <c r="L118" s="149">
        <v>46203</v>
      </c>
      <c r="M118" s="149"/>
      <c r="N118" s="149">
        <v>46203</v>
      </c>
      <c r="O118" s="13" t="s">
        <v>491</v>
      </c>
      <c r="P118" s="13" t="s">
        <v>190</v>
      </c>
      <c r="Q118" s="60" t="b">
        <v>0</v>
      </c>
      <c r="R118" s="39" t="s">
        <v>91</v>
      </c>
      <c r="S118" s="27" t="s">
        <v>10</v>
      </c>
      <c r="T118" s="27"/>
      <c r="U118" s="27" t="str">
        <f>IF(TablaCore[[#This Row],[Fecha requerida]]="","N",IF(TablaCore[[#This Row],[Fecha requerida]]&lt;=DATE(2026,4,30),"S","N"))</f>
        <v>N</v>
      </c>
    </row>
    <row r="119" spans="2:21" ht="15" customHeight="1">
      <c r="B119" s="11">
        <v>117</v>
      </c>
      <c r="C119" s="115" t="s">
        <v>10</v>
      </c>
      <c r="D119" s="11" t="s">
        <v>35</v>
      </c>
      <c r="E119" s="28" t="s">
        <v>350</v>
      </c>
      <c r="F119" s="13" t="s">
        <v>483</v>
      </c>
      <c r="G119" s="13" t="s">
        <v>489</v>
      </c>
      <c r="H119" s="13" t="s">
        <v>490</v>
      </c>
      <c r="I119" s="146" t="s">
        <v>351</v>
      </c>
      <c r="J119" s="13" t="s">
        <v>41</v>
      </c>
      <c r="K119" s="37" t="s">
        <v>59</v>
      </c>
      <c r="L119" s="149">
        <v>46203</v>
      </c>
      <c r="M119" s="149"/>
      <c r="N119" s="149">
        <v>46203</v>
      </c>
      <c r="O119" s="13" t="s">
        <v>491</v>
      </c>
      <c r="P119" s="13" t="s">
        <v>190</v>
      </c>
      <c r="Q119" s="60" t="b">
        <v>0</v>
      </c>
      <c r="R119" s="39" t="s">
        <v>91</v>
      </c>
      <c r="S119" s="27" t="s">
        <v>10</v>
      </c>
      <c r="T119" s="27"/>
      <c r="U119" s="27" t="str">
        <f>IF(TablaCore[[#This Row],[Fecha requerida]]="","N",IF(TablaCore[[#This Row],[Fecha requerida]]&lt;=DATE(2026,4,30),"S","N"))</f>
        <v>N</v>
      </c>
    </row>
    <row r="120" spans="2:21" ht="15" customHeight="1">
      <c r="B120" s="11">
        <v>118</v>
      </c>
      <c r="C120" s="115" t="s">
        <v>10</v>
      </c>
      <c r="D120" s="11" t="s">
        <v>35</v>
      </c>
      <c r="E120" s="28" t="s">
        <v>366</v>
      </c>
      <c r="F120" s="13" t="s">
        <v>483</v>
      </c>
      <c r="G120" s="13" t="s">
        <v>489</v>
      </c>
      <c r="H120" s="13" t="s">
        <v>490</v>
      </c>
      <c r="I120" s="145" t="s">
        <v>367</v>
      </c>
      <c r="J120" s="13" t="s">
        <v>41</v>
      </c>
      <c r="K120" s="37" t="s">
        <v>59</v>
      </c>
      <c r="L120" s="149">
        <v>46264</v>
      </c>
      <c r="M120" s="149"/>
      <c r="N120" s="149">
        <v>46264</v>
      </c>
      <c r="O120" s="13" t="s">
        <v>491</v>
      </c>
      <c r="P120" s="13" t="s">
        <v>190</v>
      </c>
      <c r="Q120" s="38" t="b">
        <v>0</v>
      </c>
      <c r="R120" s="39" t="s">
        <v>91</v>
      </c>
      <c r="S120" s="27" t="s">
        <v>10</v>
      </c>
      <c r="T120" s="27"/>
      <c r="U120" s="27" t="str">
        <f>IF(TablaCore[[#This Row],[Fecha requerida]]="","N",IF(TablaCore[[#This Row],[Fecha requerida]]&lt;=DATE(2026,4,30),"S","N"))</f>
        <v>N</v>
      </c>
    </row>
    <row r="121" spans="2:21" ht="15" customHeight="1">
      <c r="B121" s="11">
        <v>119</v>
      </c>
      <c r="C121" s="115" t="s">
        <v>10</v>
      </c>
      <c r="D121" s="11" t="s">
        <v>35</v>
      </c>
      <c r="E121" s="28" t="s">
        <v>368</v>
      </c>
      <c r="F121" s="13" t="s">
        <v>483</v>
      </c>
      <c r="G121" s="13" t="s">
        <v>489</v>
      </c>
      <c r="H121" s="13" t="s">
        <v>490</v>
      </c>
      <c r="I121" s="145" t="s">
        <v>369</v>
      </c>
      <c r="J121" s="13" t="s">
        <v>41</v>
      </c>
      <c r="K121" s="37" t="s">
        <v>59</v>
      </c>
      <c r="L121" s="149">
        <v>46172</v>
      </c>
      <c r="M121" s="149"/>
      <c r="N121" s="149">
        <v>46172</v>
      </c>
      <c r="O121" s="13" t="s">
        <v>491</v>
      </c>
      <c r="P121" s="13" t="s">
        <v>190</v>
      </c>
      <c r="Q121" s="38" t="b">
        <v>0</v>
      </c>
      <c r="R121" s="39" t="s">
        <v>91</v>
      </c>
      <c r="S121" s="27" t="s">
        <v>10</v>
      </c>
      <c r="T121" s="27"/>
      <c r="U121" s="27" t="str">
        <f>IF(TablaCore[[#This Row],[Fecha requerida]]="","N",IF(TablaCore[[#This Row],[Fecha requerida]]&lt;=DATE(2026,4,30),"S","N"))</f>
        <v>N</v>
      </c>
    </row>
    <row r="122" spans="2:21" ht="15" customHeight="1">
      <c r="B122" s="11">
        <v>120</v>
      </c>
      <c r="C122" s="115" t="s">
        <v>10</v>
      </c>
      <c r="D122" s="11" t="s">
        <v>35</v>
      </c>
      <c r="E122" s="28" t="s">
        <v>370</v>
      </c>
      <c r="F122" s="13" t="s">
        <v>483</v>
      </c>
      <c r="G122" s="13" t="s">
        <v>489</v>
      </c>
      <c r="H122" s="13" t="s">
        <v>490</v>
      </c>
      <c r="I122" s="146" t="s">
        <v>371</v>
      </c>
      <c r="J122" s="13" t="s">
        <v>41</v>
      </c>
      <c r="K122" s="37" t="s">
        <v>59</v>
      </c>
      <c r="L122" s="149">
        <v>46172</v>
      </c>
      <c r="M122" s="149"/>
      <c r="N122" s="149">
        <v>46172</v>
      </c>
      <c r="O122" s="13" t="s">
        <v>491</v>
      </c>
      <c r="P122" s="13" t="s">
        <v>190</v>
      </c>
      <c r="Q122" s="60" t="b">
        <v>0</v>
      </c>
      <c r="R122" s="39" t="s">
        <v>91</v>
      </c>
      <c r="S122" s="27" t="s">
        <v>10</v>
      </c>
      <c r="T122" s="27"/>
      <c r="U122" s="27" t="str">
        <f>IF(TablaCore[[#This Row],[Fecha requerida]]="","N",IF(TablaCore[[#This Row],[Fecha requerida]]&lt;=DATE(2026,4,30),"S","N"))</f>
        <v>N</v>
      </c>
    </row>
    <row r="123" spans="2:21" ht="15" customHeight="1">
      <c r="B123" s="11">
        <v>121</v>
      </c>
      <c r="C123" s="115" t="s">
        <v>10</v>
      </c>
      <c r="D123" s="11" t="s">
        <v>35</v>
      </c>
      <c r="E123" s="28" t="s">
        <v>380</v>
      </c>
      <c r="F123" s="13" t="s">
        <v>483</v>
      </c>
      <c r="G123" s="13" t="s">
        <v>489</v>
      </c>
      <c r="H123" s="13" t="s">
        <v>490</v>
      </c>
      <c r="I123" s="146" t="s">
        <v>381</v>
      </c>
      <c r="J123" s="13" t="s">
        <v>267</v>
      </c>
      <c r="K123" s="37" t="s">
        <v>59</v>
      </c>
      <c r="L123" s="149">
        <v>46172</v>
      </c>
      <c r="M123" s="149"/>
      <c r="N123" s="149">
        <v>46172</v>
      </c>
      <c r="O123" s="13" t="s">
        <v>491</v>
      </c>
      <c r="P123" s="13" t="s">
        <v>190</v>
      </c>
      <c r="Q123" s="60" t="b">
        <v>0</v>
      </c>
      <c r="R123" s="39" t="s">
        <v>91</v>
      </c>
      <c r="S123" s="27" t="s">
        <v>10</v>
      </c>
      <c r="T123" s="27"/>
      <c r="U123" s="27" t="str">
        <f>IF(TablaCore[[#This Row],[Fecha requerida]]="","N",IF(TablaCore[[#This Row],[Fecha requerida]]&lt;=DATE(2026,4,30),"S","N"))</f>
        <v>N</v>
      </c>
    </row>
    <row r="124" spans="2:21" ht="15" customHeight="1">
      <c r="B124" s="11">
        <v>122</v>
      </c>
      <c r="C124" s="115" t="s">
        <v>10</v>
      </c>
      <c r="D124" s="11" t="s">
        <v>35</v>
      </c>
      <c r="E124" s="28" t="s">
        <v>384</v>
      </c>
      <c r="F124" s="13" t="s">
        <v>483</v>
      </c>
      <c r="G124" s="13" t="s">
        <v>489</v>
      </c>
      <c r="H124" s="13" t="s">
        <v>490</v>
      </c>
      <c r="I124" s="36" t="s">
        <v>385</v>
      </c>
      <c r="J124" s="13" t="s">
        <v>41</v>
      </c>
      <c r="K124" s="37" t="s">
        <v>59</v>
      </c>
      <c r="L124" s="149">
        <v>46203</v>
      </c>
      <c r="M124" s="149"/>
      <c r="N124" s="149">
        <v>46203</v>
      </c>
      <c r="O124" s="13" t="s">
        <v>491</v>
      </c>
      <c r="P124" s="13" t="s">
        <v>190</v>
      </c>
      <c r="Q124" s="60" t="b">
        <v>0</v>
      </c>
      <c r="R124" s="39" t="s">
        <v>91</v>
      </c>
      <c r="S124" s="27" t="s">
        <v>10</v>
      </c>
      <c r="T124" s="27"/>
      <c r="U124" s="27" t="str">
        <f>IF(TablaCore[[#This Row],[Fecha requerida]]="","N",IF(TablaCore[[#This Row],[Fecha requerida]]&lt;=DATE(2026,4,30),"S","N"))</f>
        <v>N</v>
      </c>
    </row>
    <row r="125" spans="2:21" ht="15" customHeight="1">
      <c r="B125" s="11">
        <v>123</v>
      </c>
      <c r="C125" s="115" t="s">
        <v>10</v>
      </c>
      <c r="D125" s="11" t="s">
        <v>35</v>
      </c>
      <c r="E125" s="28" t="s">
        <v>386</v>
      </c>
      <c r="F125" s="13" t="s">
        <v>483</v>
      </c>
      <c r="G125" s="13" t="s">
        <v>489</v>
      </c>
      <c r="H125" s="13" t="s">
        <v>490</v>
      </c>
      <c r="I125" s="36" t="s">
        <v>387</v>
      </c>
      <c r="J125" s="13" t="s">
        <v>267</v>
      </c>
      <c r="K125" s="37" t="s">
        <v>59</v>
      </c>
      <c r="L125" s="149">
        <v>46172</v>
      </c>
      <c r="M125" s="149"/>
      <c r="N125" s="149">
        <v>46172</v>
      </c>
      <c r="O125" s="13" t="s">
        <v>491</v>
      </c>
      <c r="P125" s="13" t="s">
        <v>190</v>
      </c>
      <c r="Q125" s="60" t="b">
        <v>0</v>
      </c>
      <c r="R125" s="39" t="s">
        <v>91</v>
      </c>
      <c r="S125" s="27" t="s">
        <v>10</v>
      </c>
      <c r="T125" s="27"/>
      <c r="U125" s="27" t="str">
        <f>IF(TablaCore[[#This Row],[Fecha requerida]]="","N",IF(TablaCore[[#This Row],[Fecha requerida]]&lt;=DATE(2026,4,30),"S","N"))</f>
        <v>N</v>
      </c>
    </row>
    <row r="126" spans="2:21" ht="15" customHeight="1">
      <c r="B126" s="11">
        <v>124</v>
      </c>
      <c r="C126" s="115" t="s">
        <v>10</v>
      </c>
      <c r="D126" s="11" t="s">
        <v>35</v>
      </c>
      <c r="E126" s="28" t="s">
        <v>400</v>
      </c>
      <c r="F126" s="13" t="s">
        <v>483</v>
      </c>
      <c r="G126" s="13" t="s">
        <v>489</v>
      </c>
      <c r="H126" s="13" t="s">
        <v>490</v>
      </c>
      <c r="I126" s="36" t="s">
        <v>401</v>
      </c>
      <c r="J126" s="13" t="s">
        <v>267</v>
      </c>
      <c r="K126" s="37" t="s">
        <v>59</v>
      </c>
      <c r="L126" s="149">
        <v>46172</v>
      </c>
      <c r="M126" s="149"/>
      <c r="N126" s="149">
        <v>46172</v>
      </c>
      <c r="O126" s="13" t="s">
        <v>491</v>
      </c>
      <c r="P126" s="13" t="s">
        <v>190</v>
      </c>
      <c r="Q126" s="38" t="b">
        <v>0</v>
      </c>
      <c r="R126" s="39" t="s">
        <v>91</v>
      </c>
      <c r="S126" s="27" t="s">
        <v>10</v>
      </c>
      <c r="T126" s="27"/>
      <c r="U126" s="27" t="str">
        <f>IF(TablaCore[[#This Row],[Fecha requerida]]="","N",IF(TablaCore[[#This Row],[Fecha requerida]]&lt;=DATE(2026,4,30),"S","N"))</f>
        <v>N</v>
      </c>
    </row>
    <row r="127" spans="2:21" ht="15" customHeight="1">
      <c r="B127" s="11">
        <v>125</v>
      </c>
      <c r="C127" s="115" t="s">
        <v>10</v>
      </c>
      <c r="D127" s="11" t="s">
        <v>35</v>
      </c>
      <c r="E127" s="28" t="s">
        <v>402</v>
      </c>
      <c r="F127" s="13" t="s">
        <v>483</v>
      </c>
      <c r="G127" s="13" t="s">
        <v>489</v>
      </c>
      <c r="H127" s="13" t="s">
        <v>490</v>
      </c>
      <c r="I127" s="36" t="s">
        <v>403</v>
      </c>
      <c r="J127" s="13" t="s">
        <v>267</v>
      </c>
      <c r="K127" s="37" t="s">
        <v>59</v>
      </c>
      <c r="L127" s="149">
        <v>46172</v>
      </c>
      <c r="M127" s="149"/>
      <c r="N127" s="149">
        <v>46172</v>
      </c>
      <c r="O127" s="13" t="s">
        <v>491</v>
      </c>
      <c r="P127" s="13" t="s">
        <v>190</v>
      </c>
      <c r="Q127" s="60" t="b">
        <v>0</v>
      </c>
      <c r="R127" s="39" t="s">
        <v>91</v>
      </c>
      <c r="S127" s="27" t="s">
        <v>10</v>
      </c>
      <c r="T127" s="27"/>
      <c r="U127" s="27" t="str">
        <f>IF(TablaCore[[#This Row],[Fecha requerida]]="","N",IF(TablaCore[[#This Row],[Fecha requerida]]&lt;=DATE(2026,4,30),"S","N"))</f>
        <v>N</v>
      </c>
    </row>
    <row r="128" spans="2:21" ht="15" customHeight="1">
      <c r="B128" s="11">
        <v>126</v>
      </c>
      <c r="C128" s="115" t="s">
        <v>10</v>
      </c>
      <c r="D128" s="11" t="s">
        <v>35</v>
      </c>
      <c r="E128" s="28" t="s">
        <v>406</v>
      </c>
      <c r="F128" s="13" t="s">
        <v>483</v>
      </c>
      <c r="G128" s="13" t="s">
        <v>489</v>
      </c>
      <c r="H128" s="13" t="s">
        <v>490</v>
      </c>
      <c r="I128" s="36" t="s">
        <v>407</v>
      </c>
      <c r="J128" s="13" t="s">
        <v>267</v>
      </c>
      <c r="K128" s="37" t="s">
        <v>59</v>
      </c>
      <c r="L128" s="149">
        <v>46172</v>
      </c>
      <c r="M128" s="149"/>
      <c r="N128" s="149">
        <v>46172</v>
      </c>
      <c r="O128" s="13" t="s">
        <v>491</v>
      </c>
      <c r="P128" s="13" t="s">
        <v>190</v>
      </c>
      <c r="Q128" s="38" t="b">
        <v>0</v>
      </c>
      <c r="R128" s="39" t="s">
        <v>91</v>
      </c>
      <c r="S128" s="27" t="s">
        <v>10</v>
      </c>
      <c r="T128" s="27"/>
      <c r="U128" s="27" t="str">
        <f>IF(TablaCore[[#This Row],[Fecha requerida]]="","N",IF(TablaCore[[#This Row],[Fecha requerida]]&lt;=DATE(2026,4,30),"S","N"))</f>
        <v>N</v>
      </c>
    </row>
    <row r="129" spans="2:21" ht="15" customHeight="1">
      <c r="B129" s="11">
        <v>127</v>
      </c>
      <c r="C129" s="115" t="s">
        <v>10</v>
      </c>
      <c r="D129" s="11" t="s">
        <v>35</v>
      </c>
      <c r="E129" s="28" t="s">
        <v>408</v>
      </c>
      <c r="F129" s="13" t="s">
        <v>483</v>
      </c>
      <c r="G129" s="13" t="s">
        <v>489</v>
      </c>
      <c r="H129" s="13" t="s">
        <v>490</v>
      </c>
      <c r="I129" s="36" t="s">
        <v>409</v>
      </c>
      <c r="J129" s="13" t="s">
        <v>267</v>
      </c>
      <c r="K129" s="37" t="s">
        <v>59</v>
      </c>
      <c r="L129" s="149">
        <v>46172</v>
      </c>
      <c r="M129" s="149"/>
      <c r="N129" s="149">
        <v>46172</v>
      </c>
      <c r="O129" s="13" t="s">
        <v>491</v>
      </c>
      <c r="P129" s="13" t="s">
        <v>190</v>
      </c>
      <c r="Q129" s="38" t="b">
        <v>0</v>
      </c>
      <c r="R129" s="39" t="s">
        <v>91</v>
      </c>
      <c r="S129" s="27" t="s">
        <v>10</v>
      </c>
      <c r="T129" s="27"/>
      <c r="U129" s="27" t="str">
        <f>IF(TablaCore[[#This Row],[Fecha requerida]]="","N",IF(TablaCore[[#This Row],[Fecha requerida]]&lt;=DATE(2026,4,30),"S","N"))</f>
        <v>N</v>
      </c>
    </row>
    <row r="130" spans="2:21" ht="15" customHeight="1">
      <c r="B130" s="11">
        <v>128</v>
      </c>
      <c r="C130" s="115" t="s">
        <v>10</v>
      </c>
      <c r="D130" s="11" t="s">
        <v>35</v>
      </c>
      <c r="E130" s="28" t="s">
        <v>410</v>
      </c>
      <c r="F130" s="13" t="s">
        <v>483</v>
      </c>
      <c r="G130" s="13" t="s">
        <v>489</v>
      </c>
      <c r="H130" s="13" t="s">
        <v>490</v>
      </c>
      <c r="I130" s="36" t="s">
        <v>411</v>
      </c>
      <c r="J130" s="13" t="s">
        <v>267</v>
      </c>
      <c r="K130" s="37" t="s">
        <v>59</v>
      </c>
      <c r="L130" s="149">
        <v>46172</v>
      </c>
      <c r="M130" s="149"/>
      <c r="N130" s="149">
        <v>46172</v>
      </c>
      <c r="O130" s="13" t="s">
        <v>491</v>
      </c>
      <c r="P130" s="13" t="s">
        <v>190</v>
      </c>
      <c r="Q130" s="60" t="b">
        <v>0</v>
      </c>
      <c r="R130" s="39" t="s">
        <v>91</v>
      </c>
      <c r="S130" s="27" t="s">
        <v>10</v>
      </c>
      <c r="T130" s="27"/>
      <c r="U130" s="27" t="str">
        <f>IF(TablaCore[[#This Row],[Fecha requerida]]="","N",IF(TablaCore[[#This Row],[Fecha requerida]]&lt;=DATE(2026,4,30),"S","N"))</f>
        <v>N</v>
      </c>
    </row>
    <row r="131" spans="2:21" ht="15" customHeight="1">
      <c r="B131" s="11">
        <v>129</v>
      </c>
      <c r="C131" s="115" t="s">
        <v>10</v>
      </c>
      <c r="D131" s="11" t="s">
        <v>35</v>
      </c>
      <c r="E131" s="28" t="s">
        <v>492</v>
      </c>
      <c r="F131" s="13" t="s">
        <v>483</v>
      </c>
      <c r="G131" s="13" t="s">
        <v>489</v>
      </c>
      <c r="H131" s="13" t="s">
        <v>490</v>
      </c>
      <c r="I131" s="36" t="s">
        <v>493</v>
      </c>
      <c r="J131" s="13" t="s">
        <v>41</v>
      </c>
      <c r="K131" s="37" t="s">
        <v>59</v>
      </c>
      <c r="L131" s="149">
        <v>46172</v>
      </c>
      <c r="M131" s="149"/>
      <c r="N131" s="149">
        <v>46172</v>
      </c>
      <c r="O131" s="13" t="s">
        <v>491</v>
      </c>
      <c r="P131" s="13" t="s">
        <v>190</v>
      </c>
      <c r="Q131" s="60" t="b">
        <v>0</v>
      </c>
      <c r="R131" s="39" t="s">
        <v>91</v>
      </c>
      <c r="S131" s="27" t="s">
        <v>10</v>
      </c>
      <c r="T131" s="27"/>
      <c r="U131" s="27" t="str">
        <f>IF(TablaCore[[#This Row],[Fecha requerida]]="","N",IF(TablaCore[[#This Row],[Fecha requerida]]&lt;=DATE(2026,4,30),"S","N"))</f>
        <v>N</v>
      </c>
    </row>
    <row r="132" spans="2:21" ht="15" customHeight="1">
      <c r="B132" s="11">
        <v>130</v>
      </c>
      <c r="C132" s="115" t="s">
        <v>10</v>
      </c>
      <c r="D132" s="11" t="s">
        <v>35</v>
      </c>
      <c r="E132" s="28" t="s">
        <v>494</v>
      </c>
      <c r="F132" s="13" t="s">
        <v>483</v>
      </c>
      <c r="G132" s="13" t="s">
        <v>489</v>
      </c>
      <c r="H132" s="13" t="s">
        <v>490</v>
      </c>
      <c r="I132" s="36" t="s">
        <v>495</v>
      </c>
      <c r="J132" s="13" t="s">
        <v>267</v>
      </c>
      <c r="K132" s="37" t="s">
        <v>59</v>
      </c>
      <c r="L132" s="149">
        <v>46172</v>
      </c>
      <c r="M132" s="149"/>
      <c r="N132" s="149">
        <v>46172</v>
      </c>
      <c r="O132" s="13" t="s">
        <v>491</v>
      </c>
      <c r="P132" s="13" t="s">
        <v>190</v>
      </c>
      <c r="Q132" s="60" t="b">
        <v>0</v>
      </c>
      <c r="R132" s="39" t="s">
        <v>91</v>
      </c>
      <c r="S132" s="27" t="s">
        <v>10</v>
      </c>
      <c r="T132" s="27"/>
      <c r="U132" s="27" t="str">
        <f>IF(TablaCore[[#This Row],[Fecha requerida]]="","N",IF(TablaCore[[#This Row],[Fecha requerida]]&lt;=DATE(2026,4,30),"S","N"))</f>
        <v>N</v>
      </c>
    </row>
    <row r="133" spans="2:21" ht="15" customHeight="1">
      <c r="B133" s="11">
        <v>131</v>
      </c>
      <c r="C133" s="115" t="s">
        <v>10</v>
      </c>
      <c r="D133" s="11" t="s">
        <v>35</v>
      </c>
      <c r="E133" s="28" t="s">
        <v>438</v>
      </c>
      <c r="F133" s="13" t="s">
        <v>483</v>
      </c>
      <c r="G133" s="13" t="s">
        <v>489</v>
      </c>
      <c r="H133" s="13" t="s">
        <v>490</v>
      </c>
      <c r="I133" s="145" t="s">
        <v>439</v>
      </c>
      <c r="J133" s="13" t="s">
        <v>41</v>
      </c>
      <c r="K133" s="37" t="s">
        <v>59</v>
      </c>
      <c r="L133" s="149">
        <v>46203</v>
      </c>
      <c r="M133" s="149"/>
      <c r="N133" s="149">
        <v>46203</v>
      </c>
      <c r="O133" s="13" t="s">
        <v>491</v>
      </c>
      <c r="P133" s="13" t="s">
        <v>190</v>
      </c>
      <c r="Q133" s="38" t="b">
        <v>0</v>
      </c>
      <c r="R133" s="39" t="s">
        <v>91</v>
      </c>
      <c r="S133" s="27" t="s">
        <v>10</v>
      </c>
      <c r="T133" s="27"/>
      <c r="U133" s="27" t="str">
        <f>IF(TablaCore[[#This Row],[Fecha requerida]]="","N",IF(TablaCore[[#This Row],[Fecha requerida]]&lt;=DATE(2026,4,30),"S","N"))</f>
        <v>N</v>
      </c>
    </row>
    <row r="134" spans="2:21" ht="15" customHeight="1">
      <c r="B134" s="11">
        <v>132</v>
      </c>
      <c r="C134" s="115" t="s">
        <v>10</v>
      </c>
      <c r="D134" s="11" t="s">
        <v>35</v>
      </c>
      <c r="E134" s="28" t="s">
        <v>440</v>
      </c>
      <c r="F134" s="13" t="s">
        <v>483</v>
      </c>
      <c r="G134" s="13" t="s">
        <v>489</v>
      </c>
      <c r="H134" s="13" t="s">
        <v>490</v>
      </c>
      <c r="I134" s="146" t="s">
        <v>441</v>
      </c>
      <c r="J134" s="13" t="s">
        <v>41</v>
      </c>
      <c r="K134" s="37" t="s">
        <v>59</v>
      </c>
      <c r="L134" s="149">
        <v>46203</v>
      </c>
      <c r="M134" s="149"/>
      <c r="N134" s="149">
        <v>46203</v>
      </c>
      <c r="O134" s="13" t="s">
        <v>491</v>
      </c>
      <c r="P134" s="13" t="s">
        <v>190</v>
      </c>
      <c r="Q134" s="60" t="b">
        <v>0</v>
      </c>
      <c r="R134" s="39" t="s">
        <v>91</v>
      </c>
      <c r="S134" s="27" t="s">
        <v>10</v>
      </c>
      <c r="T134" s="27"/>
      <c r="U134" s="27" t="str">
        <f>IF(TablaCore[[#This Row],[Fecha requerida]]="","N",IF(TablaCore[[#This Row],[Fecha requerida]]&lt;=DATE(2026,4,30),"S","N"))</f>
        <v>N</v>
      </c>
    </row>
    <row r="135" spans="2:21" ht="15" customHeight="1">
      <c r="B135" s="11">
        <v>133</v>
      </c>
      <c r="C135" s="115" t="s">
        <v>10</v>
      </c>
      <c r="D135" s="11" t="s">
        <v>35</v>
      </c>
      <c r="E135" s="28" t="s">
        <v>449</v>
      </c>
      <c r="F135" s="13" t="s">
        <v>483</v>
      </c>
      <c r="G135" s="13" t="s">
        <v>489</v>
      </c>
      <c r="H135" s="13" t="s">
        <v>490</v>
      </c>
      <c r="I135" s="36" t="s">
        <v>450</v>
      </c>
      <c r="J135" s="13" t="s">
        <v>41</v>
      </c>
      <c r="K135" s="37" t="s">
        <v>59</v>
      </c>
      <c r="L135" s="149">
        <v>46173</v>
      </c>
      <c r="M135" s="149"/>
      <c r="N135" s="149">
        <v>46173</v>
      </c>
      <c r="O135" s="13" t="s">
        <v>491</v>
      </c>
      <c r="P135" s="13" t="s">
        <v>190</v>
      </c>
      <c r="Q135" s="38" t="b">
        <v>0</v>
      </c>
      <c r="R135" s="39" t="s">
        <v>91</v>
      </c>
      <c r="S135" s="27" t="s">
        <v>10</v>
      </c>
      <c r="T135" s="27"/>
      <c r="U135" s="27" t="str">
        <f>IF(TablaCore[[#This Row],[Fecha requerida]]="","N",IF(TablaCore[[#This Row],[Fecha requerida]]&lt;=DATE(2026,4,30),"S","N"))</f>
        <v>N</v>
      </c>
    </row>
    <row r="136" spans="2:21" ht="15" customHeight="1">
      <c r="B136" s="11">
        <v>134</v>
      </c>
      <c r="C136" s="115" t="s">
        <v>10</v>
      </c>
      <c r="D136" s="11" t="s">
        <v>35</v>
      </c>
      <c r="E136" s="28" t="s">
        <v>451</v>
      </c>
      <c r="F136" s="13" t="s">
        <v>483</v>
      </c>
      <c r="G136" s="13" t="s">
        <v>489</v>
      </c>
      <c r="H136" s="13" t="s">
        <v>490</v>
      </c>
      <c r="I136" s="36" t="s">
        <v>452</v>
      </c>
      <c r="J136" s="13" t="s">
        <v>41</v>
      </c>
      <c r="K136" s="37" t="s">
        <v>59</v>
      </c>
      <c r="L136" s="149">
        <v>46173</v>
      </c>
      <c r="M136" s="149"/>
      <c r="N136" s="149">
        <v>46173</v>
      </c>
      <c r="O136" s="13" t="s">
        <v>491</v>
      </c>
      <c r="P136" s="13" t="s">
        <v>190</v>
      </c>
      <c r="Q136" s="38" t="b">
        <v>0</v>
      </c>
      <c r="R136" s="39" t="s">
        <v>91</v>
      </c>
      <c r="S136" s="27" t="s">
        <v>10</v>
      </c>
      <c r="T136" s="27"/>
      <c r="U136" s="27" t="str">
        <f>IF(TablaCore[[#This Row],[Fecha requerida]]="","N",IF(TablaCore[[#This Row],[Fecha requerida]]&lt;=DATE(2026,4,30),"S","N"))</f>
        <v>N</v>
      </c>
    </row>
    <row r="137" spans="2:21" ht="15" customHeight="1">
      <c r="B137" s="11">
        <v>135</v>
      </c>
      <c r="C137" s="115" t="s">
        <v>10</v>
      </c>
      <c r="D137" s="11" t="s">
        <v>35</v>
      </c>
      <c r="E137" s="28" t="s">
        <v>496</v>
      </c>
      <c r="F137" s="13" t="s">
        <v>483</v>
      </c>
      <c r="G137" s="13" t="s">
        <v>489</v>
      </c>
      <c r="H137" s="13" t="s">
        <v>490</v>
      </c>
      <c r="I137" s="36" t="s">
        <v>497</v>
      </c>
      <c r="J137" s="13" t="s">
        <v>41</v>
      </c>
      <c r="K137" s="37" t="s">
        <v>59</v>
      </c>
      <c r="L137" s="149">
        <v>46173</v>
      </c>
      <c r="M137" s="149"/>
      <c r="N137" s="149">
        <v>46173</v>
      </c>
      <c r="O137" s="13" t="s">
        <v>491</v>
      </c>
      <c r="P137" s="13" t="s">
        <v>190</v>
      </c>
      <c r="Q137" s="60" t="b">
        <v>0</v>
      </c>
      <c r="R137" s="39" t="s">
        <v>91</v>
      </c>
      <c r="S137" s="27" t="s">
        <v>10</v>
      </c>
      <c r="T137" s="27"/>
      <c r="U137" s="27" t="str">
        <f>IF(TablaCore[[#This Row],[Fecha requerida]]="","N",IF(TablaCore[[#This Row],[Fecha requerida]]&lt;=DATE(2026,4,30),"S","N"))</f>
        <v>N</v>
      </c>
    </row>
    <row r="138" spans="2:21" ht="15" customHeight="1">
      <c r="B138" s="11">
        <v>136</v>
      </c>
      <c r="C138" s="115" t="s">
        <v>10</v>
      </c>
      <c r="D138" s="11" t="s">
        <v>35</v>
      </c>
      <c r="E138" s="28" t="s">
        <v>453</v>
      </c>
      <c r="F138" s="13" t="s">
        <v>483</v>
      </c>
      <c r="G138" s="13" t="s">
        <v>489</v>
      </c>
      <c r="H138" s="13" t="s">
        <v>490</v>
      </c>
      <c r="I138" s="36" t="s">
        <v>454</v>
      </c>
      <c r="J138" s="13" t="s">
        <v>41</v>
      </c>
      <c r="K138" s="37" t="s">
        <v>59</v>
      </c>
      <c r="L138" s="149">
        <v>46173</v>
      </c>
      <c r="M138" s="149"/>
      <c r="N138" s="149">
        <v>46173</v>
      </c>
      <c r="O138" s="13" t="s">
        <v>491</v>
      </c>
      <c r="P138" s="13" t="s">
        <v>190</v>
      </c>
      <c r="Q138" s="38" t="b">
        <v>0</v>
      </c>
      <c r="R138" s="39" t="s">
        <v>91</v>
      </c>
      <c r="S138" s="27" t="s">
        <v>10</v>
      </c>
      <c r="T138" s="27"/>
      <c r="U138" s="27" t="str">
        <f>IF(TablaCore[[#This Row],[Fecha requerida]]="","N",IF(TablaCore[[#This Row],[Fecha requerida]]&lt;=DATE(2026,4,30),"S","N"))</f>
        <v>N</v>
      </c>
    </row>
    <row r="139" spans="2:21" ht="15" customHeight="1">
      <c r="B139" s="11">
        <v>137</v>
      </c>
      <c r="C139" s="115" t="s">
        <v>10</v>
      </c>
      <c r="D139" s="11" t="s">
        <v>35</v>
      </c>
      <c r="E139" s="28" t="s">
        <v>455</v>
      </c>
      <c r="F139" s="13" t="s">
        <v>483</v>
      </c>
      <c r="G139" s="13" t="s">
        <v>489</v>
      </c>
      <c r="H139" s="13" t="s">
        <v>490</v>
      </c>
      <c r="I139" s="36" t="s">
        <v>456</v>
      </c>
      <c r="J139" s="13" t="s">
        <v>41</v>
      </c>
      <c r="K139" s="37" t="s">
        <v>59</v>
      </c>
      <c r="L139" s="149">
        <v>46173</v>
      </c>
      <c r="M139" s="149"/>
      <c r="N139" s="149">
        <v>46173</v>
      </c>
      <c r="O139" s="13" t="s">
        <v>491</v>
      </c>
      <c r="P139" s="13" t="s">
        <v>190</v>
      </c>
      <c r="Q139" s="38" t="b">
        <v>0</v>
      </c>
      <c r="R139" s="39" t="s">
        <v>91</v>
      </c>
      <c r="S139" s="27" t="s">
        <v>10</v>
      </c>
      <c r="T139" s="27"/>
      <c r="U139" s="27" t="str">
        <f>IF(TablaCore[[#This Row],[Fecha requerida]]="","N",IF(TablaCore[[#This Row],[Fecha requerida]]&lt;=DATE(2026,4,30),"S","N"))</f>
        <v>N</v>
      </c>
    </row>
    <row r="140" spans="2:21" ht="15" customHeight="1">
      <c r="B140" s="11">
        <v>138</v>
      </c>
      <c r="C140" s="115" t="s">
        <v>10</v>
      </c>
      <c r="D140" s="11" t="s">
        <v>35</v>
      </c>
      <c r="E140" s="28" t="s">
        <v>457</v>
      </c>
      <c r="F140" s="13" t="s">
        <v>483</v>
      </c>
      <c r="G140" s="13" t="s">
        <v>489</v>
      </c>
      <c r="H140" s="13" t="s">
        <v>490</v>
      </c>
      <c r="I140" s="36" t="s">
        <v>458</v>
      </c>
      <c r="J140" s="13" t="s">
        <v>41</v>
      </c>
      <c r="K140" s="37" t="s">
        <v>59</v>
      </c>
      <c r="L140" s="149">
        <v>46173</v>
      </c>
      <c r="M140" s="149"/>
      <c r="N140" s="149">
        <v>46173</v>
      </c>
      <c r="O140" s="13" t="s">
        <v>491</v>
      </c>
      <c r="P140" s="13" t="s">
        <v>190</v>
      </c>
      <c r="Q140" s="60" t="b">
        <v>0</v>
      </c>
      <c r="R140" s="39" t="s">
        <v>91</v>
      </c>
      <c r="S140" s="27" t="s">
        <v>10</v>
      </c>
      <c r="T140" s="27"/>
      <c r="U140" s="27" t="str">
        <f>IF(TablaCore[[#This Row],[Fecha requerida]]="","N",IF(TablaCore[[#This Row],[Fecha requerida]]&lt;=DATE(2026,4,30),"S","N"))</f>
        <v>N</v>
      </c>
    </row>
    <row r="141" spans="2:21" ht="15" customHeight="1">
      <c r="B141" s="11">
        <v>139</v>
      </c>
      <c r="C141" s="115" t="s">
        <v>10</v>
      </c>
      <c r="D141" s="11" t="s">
        <v>35</v>
      </c>
      <c r="E141" s="28" t="s">
        <v>463</v>
      </c>
      <c r="F141" s="13" t="s">
        <v>483</v>
      </c>
      <c r="G141" s="13" t="s">
        <v>489</v>
      </c>
      <c r="H141" s="13" t="s">
        <v>490</v>
      </c>
      <c r="I141" s="36" t="s">
        <v>464</v>
      </c>
      <c r="J141" s="13" t="s">
        <v>267</v>
      </c>
      <c r="K141" s="37" t="s">
        <v>59</v>
      </c>
      <c r="L141" s="149">
        <v>46173</v>
      </c>
      <c r="M141" s="149"/>
      <c r="N141" s="149">
        <v>46173</v>
      </c>
      <c r="O141" s="13" t="s">
        <v>491</v>
      </c>
      <c r="P141" s="13" t="s">
        <v>190</v>
      </c>
      <c r="Q141" s="38" t="b">
        <v>0</v>
      </c>
      <c r="R141" s="39" t="s">
        <v>91</v>
      </c>
      <c r="S141" s="27" t="s">
        <v>10</v>
      </c>
      <c r="T141" s="27"/>
      <c r="U141" s="27" t="str">
        <f>IF(TablaCore[[#This Row],[Fecha requerida]]="","N",IF(TablaCore[[#This Row],[Fecha requerida]]&lt;=DATE(2026,4,30),"S","N"))</f>
        <v>N</v>
      </c>
    </row>
    <row r="142" spans="2:21" ht="15" customHeight="1">
      <c r="B142" s="11">
        <v>140</v>
      </c>
      <c r="C142" s="115" t="s">
        <v>10</v>
      </c>
      <c r="D142" s="11" t="s">
        <v>35</v>
      </c>
      <c r="E142" s="28" t="s">
        <v>465</v>
      </c>
      <c r="F142" s="13" t="s">
        <v>483</v>
      </c>
      <c r="G142" s="13" t="s">
        <v>489</v>
      </c>
      <c r="H142" s="13" t="s">
        <v>490</v>
      </c>
      <c r="I142" s="36" t="s">
        <v>466</v>
      </c>
      <c r="J142" s="13" t="s">
        <v>267</v>
      </c>
      <c r="K142" s="37" t="s">
        <v>59</v>
      </c>
      <c r="L142" s="149">
        <v>46173</v>
      </c>
      <c r="M142" s="149"/>
      <c r="N142" s="149">
        <v>46173</v>
      </c>
      <c r="O142" s="13" t="s">
        <v>491</v>
      </c>
      <c r="P142" s="13" t="s">
        <v>190</v>
      </c>
      <c r="Q142" s="60" t="b">
        <v>0</v>
      </c>
      <c r="R142" s="39" t="s">
        <v>91</v>
      </c>
      <c r="S142" s="27" t="s">
        <v>10</v>
      </c>
      <c r="T142" s="27"/>
      <c r="U142" s="27" t="str">
        <f>IF(TablaCore[[#This Row],[Fecha requerida]]="","N",IF(TablaCore[[#This Row],[Fecha requerida]]&lt;=DATE(2026,4,30),"S","N"))</f>
        <v>N</v>
      </c>
    </row>
    <row r="143" spans="2:21" ht="15" customHeight="1">
      <c r="B143" s="11">
        <v>141</v>
      </c>
      <c r="C143" s="115" t="s">
        <v>10</v>
      </c>
      <c r="D143" s="11" t="s">
        <v>35</v>
      </c>
      <c r="E143" s="28" t="s">
        <v>469</v>
      </c>
      <c r="F143" s="13" t="s">
        <v>483</v>
      </c>
      <c r="G143" s="13" t="s">
        <v>489</v>
      </c>
      <c r="H143" s="13" t="s">
        <v>490</v>
      </c>
      <c r="I143" s="36" t="s">
        <v>470</v>
      </c>
      <c r="J143" s="13" t="s">
        <v>267</v>
      </c>
      <c r="K143" s="37" t="s">
        <v>59</v>
      </c>
      <c r="L143" s="149">
        <v>46203</v>
      </c>
      <c r="M143" s="149"/>
      <c r="N143" s="149">
        <v>46203</v>
      </c>
      <c r="O143" s="13" t="s">
        <v>491</v>
      </c>
      <c r="P143" s="13" t="s">
        <v>190</v>
      </c>
      <c r="Q143" s="60" t="b">
        <v>0</v>
      </c>
      <c r="R143" s="39" t="s">
        <v>91</v>
      </c>
      <c r="S143" s="27" t="s">
        <v>10</v>
      </c>
      <c r="T143" s="27"/>
      <c r="U143" s="27" t="str">
        <f>IF(TablaCore[[#This Row],[Fecha requerida]]="","N",IF(TablaCore[[#This Row],[Fecha requerida]]&lt;=DATE(2026,4,30),"S","N"))</f>
        <v>N</v>
      </c>
    </row>
    <row r="144" spans="2:21" ht="15" customHeight="1">
      <c r="B144" s="11">
        <v>142</v>
      </c>
      <c r="C144" s="115" t="s">
        <v>10</v>
      </c>
      <c r="D144" s="11" t="s">
        <v>35</v>
      </c>
      <c r="E144" s="28" t="s">
        <v>477</v>
      </c>
      <c r="F144" s="13" t="s">
        <v>483</v>
      </c>
      <c r="G144" s="13" t="s">
        <v>489</v>
      </c>
      <c r="H144" s="13" t="s">
        <v>490</v>
      </c>
      <c r="I144" s="36" t="s">
        <v>478</v>
      </c>
      <c r="J144" s="13" t="s">
        <v>41</v>
      </c>
      <c r="K144" s="37" t="s">
        <v>59</v>
      </c>
      <c r="L144" s="149">
        <v>46264</v>
      </c>
      <c r="M144" s="149"/>
      <c r="N144" s="149">
        <v>46264</v>
      </c>
      <c r="O144" s="13" t="s">
        <v>491</v>
      </c>
      <c r="P144" s="13" t="s">
        <v>190</v>
      </c>
      <c r="Q144" s="60" t="b">
        <v>0</v>
      </c>
      <c r="R144" s="39" t="s">
        <v>91</v>
      </c>
      <c r="S144" s="27" t="s">
        <v>10</v>
      </c>
      <c r="T144" s="27"/>
      <c r="U144" s="27" t="str">
        <f>IF(TablaCore[[#This Row],[Fecha requerida]]="","N",IF(TablaCore[[#This Row],[Fecha requerida]]&lt;=DATE(2026,4,30),"S","N"))</f>
        <v>N</v>
      </c>
    </row>
    <row r="145" spans="2:21" ht="15" customHeight="1">
      <c r="B145" s="11">
        <v>143</v>
      </c>
      <c r="C145" s="115" t="s">
        <v>10</v>
      </c>
      <c r="D145" s="11" t="s">
        <v>35</v>
      </c>
      <c r="E145" s="28" t="s">
        <v>481</v>
      </c>
      <c r="F145" s="13" t="s">
        <v>483</v>
      </c>
      <c r="G145" s="13" t="s">
        <v>489</v>
      </c>
      <c r="H145" s="13" t="s">
        <v>490</v>
      </c>
      <c r="I145" s="36" t="s">
        <v>482</v>
      </c>
      <c r="J145" s="13" t="s">
        <v>267</v>
      </c>
      <c r="K145" s="37" t="s">
        <v>59</v>
      </c>
      <c r="L145" s="149">
        <v>46203</v>
      </c>
      <c r="M145" s="149"/>
      <c r="N145" s="149">
        <v>46203</v>
      </c>
      <c r="O145" s="13" t="s">
        <v>491</v>
      </c>
      <c r="P145" s="13" t="s">
        <v>190</v>
      </c>
      <c r="Q145" s="60" t="b">
        <v>0</v>
      </c>
      <c r="R145" s="39" t="s">
        <v>91</v>
      </c>
      <c r="S145" s="27" t="s">
        <v>10</v>
      </c>
      <c r="T145" s="27"/>
      <c r="U145" s="27" t="str">
        <f>IF(TablaCore[[#This Row],[Fecha requerida]]="","N",IF(TablaCore[[#This Row],[Fecha requerida]]&lt;=DATE(2026,4,30),"S","N"))</f>
        <v>N</v>
      </c>
    </row>
    <row r="146" spans="2:21" ht="15" customHeight="1">
      <c r="B146" s="11">
        <v>144</v>
      </c>
      <c r="C146" s="115" t="s">
        <v>10</v>
      </c>
      <c r="D146" s="11" t="s">
        <v>64</v>
      </c>
      <c r="E146" s="2"/>
      <c r="F146" s="13" t="s">
        <v>483</v>
      </c>
      <c r="G146" s="13" t="s">
        <v>498</v>
      </c>
      <c r="H146" s="13" t="s">
        <v>499</v>
      </c>
      <c r="I146" s="13" t="s">
        <v>500</v>
      </c>
      <c r="J146" s="13" t="s">
        <v>267</v>
      </c>
      <c r="K146" s="13" t="s">
        <v>59</v>
      </c>
      <c r="L146" s="149">
        <v>46203</v>
      </c>
      <c r="M146" s="149"/>
      <c r="N146" s="149">
        <v>46203</v>
      </c>
      <c r="O146" s="13" t="s">
        <v>501</v>
      </c>
      <c r="P146" s="13" t="s">
        <v>190</v>
      </c>
      <c r="Q146" s="60" t="b">
        <v>0</v>
      </c>
      <c r="R146" s="39" t="s">
        <v>91</v>
      </c>
      <c r="S146" s="27" t="s">
        <v>10</v>
      </c>
      <c r="T146" s="27"/>
      <c r="U146" s="27" t="str">
        <f>IF(TablaCore[[#This Row],[Fecha requerida]]="","N",IF(TablaCore[[#This Row],[Fecha requerida]]&lt;=DATE(2026,4,30),"S","N"))</f>
        <v>N</v>
      </c>
    </row>
    <row r="147" spans="2:21" ht="15" customHeight="1">
      <c r="B147" s="11">
        <v>145</v>
      </c>
      <c r="C147" s="115" t="s">
        <v>10</v>
      </c>
      <c r="D147" s="11" t="s">
        <v>64</v>
      </c>
      <c r="E147" s="2"/>
      <c r="F147" s="13" t="s">
        <v>162</v>
      </c>
      <c r="G147" s="37" t="s">
        <v>311</v>
      </c>
      <c r="H147" s="13" t="s">
        <v>312</v>
      </c>
      <c r="I147" s="13" t="s">
        <v>502</v>
      </c>
      <c r="J147" s="13" t="s">
        <v>267</v>
      </c>
      <c r="K147" s="13" t="s">
        <v>59</v>
      </c>
      <c r="L147" s="149">
        <v>46157</v>
      </c>
      <c r="M147" s="149"/>
      <c r="N147" s="149">
        <v>46157</v>
      </c>
      <c r="O147" s="13" t="s">
        <v>314</v>
      </c>
      <c r="P147" s="37" t="s">
        <v>164</v>
      </c>
      <c r="Q147" s="60" t="b">
        <v>0</v>
      </c>
      <c r="R147" s="39" t="s">
        <v>91</v>
      </c>
      <c r="S147" s="27" t="s">
        <v>10</v>
      </c>
      <c r="T147" s="27"/>
      <c r="U147" s="27" t="str">
        <f>IF(TablaCore[[#This Row],[Fecha requerida]]="","N",IF(TablaCore[[#This Row],[Fecha requerida]]&lt;=DATE(2026,4,30),"S","N"))</f>
        <v>N</v>
      </c>
    </row>
  </sheetData>
  <phoneticPr fontId="14" type="noConversion"/>
  <conditionalFormatting sqref="L3:M147">
    <cfRule type="cellIs" dxfId="3" priority="4" operator="lessThan">
      <formula>TODAY()</formula>
    </cfRule>
  </conditionalFormatting>
  <conditionalFormatting sqref="N3">
    <cfRule type="cellIs" dxfId="2" priority="1" operator="lessThan">
      <formula>TODAY()</formula>
    </cfRule>
  </conditionalFormatting>
  <conditionalFormatting sqref="N147">
    <cfRule type="cellIs" dxfId="1" priority="2" operator="lessThan">
      <formula>TODAY()</formula>
    </cfRule>
  </conditionalFormatting>
  <dataValidations count="1">
    <dataValidation type="date" allowBlank="1" showInputMessage="1" showErrorMessage="1" sqref="L1:N1048576" xr:uid="{B8990BC9-C12D-404A-BA67-5329A416AD35}">
      <formula1>46023</formula1>
      <formula2>46387</formula2>
    </dataValidation>
  </dataValidations>
  <pageMargins left="0.7" right="0.7" top="0.75" bottom="0.75" header="0.3" footer="0.3"/>
  <legacyDrawing r:id="rId1"/>
  <tableParts count="1">
    <tablePart r:id="rId2"/>
  </tableParts>
  <extLst>
    <ext xmlns:x14="http://schemas.microsoft.com/office/spreadsheetml/2009/9/main" uri="{CCE6A557-97BC-4b89-ADB6-D9C93CAAB3DF}">
      <x14:dataValidations xmlns:xm="http://schemas.microsoft.com/office/excel/2006/main" count="3">
        <x14:dataValidation type="list" allowBlank="1" showInputMessage="1" showErrorMessage="1" xr:uid="{F4BBCE89-E2BA-4F0C-BA80-FF6BE7FA90A3}">
          <x14:formula1>
            <xm:f>Catálogo!$C$3:$C$5</xm:f>
          </x14:formula1>
          <xm:sqref>K3:K147</xm:sqref>
        </x14:dataValidation>
        <x14:dataValidation type="list" allowBlank="1" showInputMessage="1" showErrorMessage="1" xr:uid="{83289ECE-7EFD-4F03-8CF5-ABCE64A0C30E}">
          <x14:formula1>
            <xm:f>Catálogo!$B$3:$B$8</xm:f>
          </x14:formula1>
          <xm:sqref>J3:J147</xm:sqref>
        </x14:dataValidation>
        <x14:dataValidation type="list" allowBlank="1" showInputMessage="1" showErrorMessage="1" xr:uid="{78F0C462-2D02-4D00-B47C-54341CD840DA}">
          <x14:formula1>
            <xm:f>Parametros!$B$2:$B$6</xm:f>
          </x14:formula1>
          <xm:sqref>R1:R1048576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771E5-2B6B-408B-B802-34FB9E0F1EF7}">
  <dimension ref="B1:U29"/>
  <sheetViews>
    <sheetView showGridLines="0" zoomScale="90" zoomScaleNormal="90" workbookViewId="0">
      <pane xSplit="6" ySplit="2" topLeftCell="I3" activePane="bottomRight" state="frozen"/>
      <selection pane="topRight" activeCell="B3" sqref="B3"/>
      <selection pane="bottomLeft" activeCell="B3" sqref="B3"/>
      <selection pane="bottomRight" activeCell="A24" sqref="A24:XFD35"/>
    </sheetView>
  </sheetViews>
  <sheetFormatPr baseColWidth="10" defaultColWidth="11.453125" defaultRowHeight="15" customHeight="1"/>
  <cols>
    <col min="1" max="1" width="1.453125" style="29" customWidth="1"/>
    <col min="2" max="2" width="5.1796875" style="6" customWidth="1"/>
    <col min="3" max="3" width="14.54296875" style="6" customWidth="1"/>
    <col min="4" max="4" width="13" style="191" customWidth="1"/>
    <col min="5" max="5" width="24.1796875" style="66" customWidth="1"/>
    <col min="6" max="6" width="19.81640625" style="6" customWidth="1"/>
    <col min="7" max="7" width="18.1796875" style="6" customWidth="1"/>
    <col min="8" max="8" width="36.1796875" style="66" customWidth="1"/>
    <col min="9" max="9" width="17.81640625" style="6" bestFit="1" customWidth="1"/>
    <col min="10" max="10" width="17" style="6" bestFit="1" customWidth="1"/>
    <col min="11" max="11" width="12.453125" style="6" customWidth="1"/>
    <col min="12" max="12" width="17" style="61" customWidth="1"/>
    <col min="13" max="13" width="12.453125" style="61" customWidth="1"/>
    <col min="14" max="14" width="13.7265625" style="61" customWidth="1"/>
    <col min="15" max="15" width="15.54296875" style="6" hidden="1" customWidth="1"/>
    <col min="16" max="16" width="14.1796875" style="6" customWidth="1"/>
    <col min="17" max="17" width="14.1796875" style="29" customWidth="1"/>
    <col min="18" max="18" width="20.54296875" style="6" customWidth="1"/>
    <col min="19" max="19" width="11.453125" style="29"/>
    <col min="20" max="20" width="33" style="29" customWidth="1"/>
    <col min="21" max="16384" width="11.453125" style="29"/>
  </cols>
  <sheetData>
    <row r="1" spans="2:21" ht="9" customHeight="1"/>
    <row r="2" spans="2:21" s="4" customFormat="1" ht="25.5" customHeight="1">
      <c r="B2" s="173" t="s">
        <v>80</v>
      </c>
      <c r="C2" s="173" t="s">
        <v>0</v>
      </c>
      <c r="D2" s="192" t="s">
        <v>20</v>
      </c>
      <c r="E2" s="184" t="s">
        <v>81</v>
      </c>
      <c r="F2" s="5" t="s">
        <v>22</v>
      </c>
      <c r="G2" s="4" t="s">
        <v>23</v>
      </c>
      <c r="H2" s="5" t="s">
        <v>24</v>
      </c>
      <c r="I2" s="4" t="s">
        <v>25</v>
      </c>
      <c r="J2" s="4" t="s">
        <v>26</v>
      </c>
      <c r="K2" s="4" t="s">
        <v>27</v>
      </c>
      <c r="L2" s="9" t="s">
        <v>28</v>
      </c>
      <c r="M2" s="9" t="s">
        <v>82</v>
      </c>
      <c r="N2" s="9" t="s">
        <v>29</v>
      </c>
      <c r="O2" s="7" t="s">
        <v>30</v>
      </c>
      <c r="P2" s="4" t="s">
        <v>31</v>
      </c>
      <c r="Q2" s="4" t="s">
        <v>32</v>
      </c>
      <c r="R2" s="4" t="s">
        <v>33</v>
      </c>
      <c r="S2" s="4" t="s">
        <v>34</v>
      </c>
      <c r="T2" s="4" t="s">
        <v>83</v>
      </c>
      <c r="U2" s="4" t="s">
        <v>84</v>
      </c>
    </row>
    <row r="3" spans="2:21" s="203" customFormat="1" ht="143">
      <c r="B3" s="215">
        <v>1</v>
      </c>
      <c r="C3" s="214" t="s">
        <v>4</v>
      </c>
      <c r="D3" s="194" t="s">
        <v>35</v>
      </c>
      <c r="E3" s="197" t="s">
        <v>503</v>
      </c>
      <c r="F3" s="236" t="s">
        <v>4</v>
      </c>
      <c r="G3" s="196" t="s">
        <v>504</v>
      </c>
      <c r="H3" s="197" t="s">
        <v>505</v>
      </c>
      <c r="I3" s="195" t="s">
        <v>506</v>
      </c>
      <c r="J3" s="196" t="s">
        <v>267</v>
      </c>
      <c r="K3" s="196" t="s">
        <v>59</v>
      </c>
      <c r="L3" s="198">
        <v>46058</v>
      </c>
      <c r="M3" s="198">
        <v>46104</v>
      </c>
      <c r="N3" s="198">
        <v>46143</v>
      </c>
      <c r="O3" s="199"/>
      <c r="P3" s="196" t="s">
        <v>507</v>
      </c>
      <c r="Q3" s="200" t="b">
        <v>1</v>
      </c>
      <c r="R3" s="201" t="s">
        <v>179</v>
      </c>
      <c r="S3" s="219" t="s">
        <v>508</v>
      </c>
      <c r="T3" s="223" t="s">
        <v>509</v>
      </c>
      <c r="U3" s="202" t="str">
        <f>IF(TablaDigital[[#This Row],[Fecha requerida]]="","N",IF(TablaDigital[[#This Row],[Fecha requerida]]&lt;=DATE(2026,4,30),"S","N"))</f>
        <v>S</v>
      </c>
    </row>
    <row r="4" spans="2:21" s="204" customFormat="1" ht="26">
      <c r="B4" s="215">
        <v>2</v>
      </c>
      <c r="C4" s="214" t="s">
        <v>4</v>
      </c>
      <c r="D4" s="194" t="s">
        <v>35</v>
      </c>
      <c r="E4" s="197" t="s">
        <v>503</v>
      </c>
      <c r="F4" s="236" t="s">
        <v>4</v>
      </c>
      <c r="G4" s="196" t="s">
        <v>510</v>
      </c>
      <c r="H4" s="197" t="s">
        <v>511</v>
      </c>
      <c r="I4" s="195"/>
      <c r="J4" s="196" t="s">
        <v>41</v>
      </c>
      <c r="K4" s="196" t="s">
        <v>59</v>
      </c>
      <c r="L4" s="198">
        <v>46058</v>
      </c>
      <c r="M4" s="198">
        <v>46146</v>
      </c>
      <c r="N4" s="194"/>
      <c r="P4" s="196" t="s">
        <v>510</v>
      </c>
      <c r="Q4" s="200" t="b">
        <v>1</v>
      </c>
      <c r="R4" s="201" t="s">
        <v>179</v>
      </c>
      <c r="S4" s="219"/>
      <c r="T4" s="223"/>
      <c r="U4" s="202" t="str">
        <f>IF(TablaDigital[[#This Row],[Fecha requerida]]="","N",IF(TablaDigital[[#This Row],[Fecha requerida]]&lt;=DATE(2026,4,30),"S","N"))</f>
        <v>S</v>
      </c>
    </row>
    <row r="5" spans="2:21" s="204" customFormat="1" ht="40.5" hidden="1" customHeight="1">
      <c r="B5" s="215">
        <v>3</v>
      </c>
      <c r="C5" s="214" t="s">
        <v>4</v>
      </c>
      <c r="D5" s="194" t="s">
        <v>35</v>
      </c>
      <c r="E5" s="197" t="s">
        <v>503</v>
      </c>
      <c r="F5" s="236" t="s">
        <v>4</v>
      </c>
      <c r="G5" s="196" t="s">
        <v>510</v>
      </c>
      <c r="H5" s="197" t="s">
        <v>512</v>
      </c>
      <c r="I5" s="195" t="s">
        <v>513</v>
      </c>
      <c r="J5" s="196" t="s">
        <v>41</v>
      </c>
      <c r="K5" s="196" t="s">
        <v>59</v>
      </c>
      <c r="L5" s="198">
        <v>46058</v>
      </c>
      <c r="M5" s="198">
        <v>46299</v>
      </c>
      <c r="N5" s="217" t="s">
        <v>43</v>
      </c>
      <c r="P5" s="196" t="s">
        <v>514</v>
      </c>
      <c r="Q5" s="200" t="b">
        <v>1</v>
      </c>
      <c r="R5" s="235" t="s">
        <v>103</v>
      </c>
      <c r="S5" s="219" t="s">
        <v>508</v>
      </c>
      <c r="T5" s="223" t="s">
        <v>509</v>
      </c>
      <c r="U5" s="202" t="str">
        <f>IF(TablaDigital[[#This Row],[Fecha requerida]]="","N",IF(TablaDigital[[#This Row],[Fecha requerida]]&lt;=DATE(2026,4,30),"S","N"))</f>
        <v>S</v>
      </c>
    </row>
    <row r="6" spans="2:21" s="204" customFormat="1" ht="40.5" hidden="1" customHeight="1">
      <c r="B6" s="215">
        <v>4</v>
      </c>
      <c r="C6" s="214" t="s">
        <v>4</v>
      </c>
      <c r="D6" s="194" t="s">
        <v>35</v>
      </c>
      <c r="E6" s="216" t="s">
        <v>515</v>
      </c>
      <c r="F6" s="236" t="s">
        <v>4</v>
      </c>
      <c r="G6" s="205" t="s">
        <v>516</v>
      </c>
      <c r="H6" s="197" t="s">
        <v>517</v>
      </c>
      <c r="I6" s="195" t="s">
        <v>518</v>
      </c>
      <c r="J6" s="196" t="s">
        <v>267</v>
      </c>
      <c r="K6" s="196" t="s">
        <v>238</v>
      </c>
      <c r="L6" s="198">
        <v>46058</v>
      </c>
      <c r="M6" s="198">
        <v>46144</v>
      </c>
      <c r="N6" s="217" t="s">
        <v>43</v>
      </c>
      <c r="P6" s="196" t="s">
        <v>519</v>
      </c>
      <c r="Q6" s="200" t="b">
        <v>1</v>
      </c>
      <c r="R6" s="196" t="s">
        <v>91</v>
      </c>
      <c r="S6" s="219" t="s">
        <v>508</v>
      </c>
      <c r="T6" s="223" t="s">
        <v>509</v>
      </c>
      <c r="U6" s="202" t="str">
        <f>IF(TablaDigital[[#This Row],[Fecha requerida]]="","N",IF(TablaDigital[[#This Row],[Fecha requerida]]&lt;=DATE(2026,4,30),"S","N"))</f>
        <v>S</v>
      </c>
    </row>
    <row r="7" spans="2:21" s="204" customFormat="1" ht="40.5" hidden="1" customHeight="1">
      <c r="B7" s="215">
        <v>5</v>
      </c>
      <c r="C7" s="214" t="s">
        <v>4</v>
      </c>
      <c r="D7" s="208" t="s">
        <v>35</v>
      </c>
      <c r="E7" s="207" t="s">
        <v>520</v>
      </c>
      <c r="F7" s="236" t="s">
        <v>4</v>
      </c>
      <c r="G7" s="205" t="s">
        <v>521</v>
      </c>
      <c r="H7" s="207" t="s">
        <v>522</v>
      </c>
      <c r="I7" s="205" t="s">
        <v>522</v>
      </c>
      <c r="J7" s="196" t="s">
        <v>41</v>
      </c>
      <c r="K7" s="205" t="s">
        <v>59</v>
      </c>
      <c r="L7" s="198">
        <v>46127</v>
      </c>
      <c r="M7" s="212"/>
      <c r="N7" s="218" t="s">
        <v>43</v>
      </c>
      <c r="P7" s="205" t="s">
        <v>523</v>
      </c>
      <c r="Q7" s="200" t="b">
        <v>0</v>
      </c>
      <c r="R7" s="196" t="s">
        <v>103</v>
      </c>
      <c r="S7" s="220" t="s">
        <v>508</v>
      </c>
      <c r="T7" s="196"/>
      <c r="U7" s="202" t="str">
        <f>IF(TablaDigital[[#This Row],[Fecha requerida]]="","N",IF(TablaDigital[[#This Row],[Fecha requerida]]&lt;=DATE(2026,4,30),"S","N"))</f>
        <v>S</v>
      </c>
    </row>
    <row r="8" spans="2:21" s="204" customFormat="1" ht="40.5" hidden="1" customHeight="1">
      <c r="B8" s="215">
        <v>6</v>
      </c>
      <c r="C8" s="214" t="s">
        <v>4</v>
      </c>
      <c r="D8" s="208" t="s">
        <v>35</v>
      </c>
      <c r="E8" s="207" t="s">
        <v>524</v>
      </c>
      <c r="F8" s="237" t="s">
        <v>4</v>
      </c>
      <c r="G8" s="205" t="s">
        <v>525</v>
      </c>
      <c r="H8" s="207" t="s">
        <v>526</v>
      </c>
      <c r="I8" s="205" t="s">
        <v>527</v>
      </c>
      <c r="J8" s="205" t="s">
        <v>41</v>
      </c>
      <c r="K8" s="205" t="s">
        <v>42</v>
      </c>
      <c r="L8" s="198">
        <v>46127</v>
      </c>
      <c r="M8" s="212"/>
      <c r="N8" s="218" t="s">
        <v>43</v>
      </c>
      <c r="P8" s="205" t="s">
        <v>528</v>
      </c>
      <c r="Q8" s="200" t="b">
        <v>0</v>
      </c>
      <c r="R8" s="196" t="s">
        <v>103</v>
      </c>
      <c r="S8" s="220" t="s">
        <v>508</v>
      </c>
      <c r="T8" s="196"/>
      <c r="U8" s="202" t="str">
        <f>IF(TablaDigital[[#This Row],[Fecha requerida]]="","N",IF(TablaDigital[[#This Row],[Fecha requerida]]&lt;=DATE(2026,4,30),"S","N"))</f>
        <v>S</v>
      </c>
    </row>
    <row r="9" spans="2:21" s="204" customFormat="1" ht="40.5" hidden="1" customHeight="1">
      <c r="B9" s="215">
        <v>7</v>
      </c>
      <c r="C9" s="214" t="s">
        <v>4</v>
      </c>
      <c r="D9" s="208" t="s">
        <v>35</v>
      </c>
      <c r="E9" s="207" t="s">
        <v>524</v>
      </c>
      <c r="F9" s="237" t="s">
        <v>4</v>
      </c>
      <c r="G9" s="205" t="s">
        <v>529</v>
      </c>
      <c r="H9" s="207" t="s">
        <v>530</v>
      </c>
      <c r="I9" s="205" t="s">
        <v>531</v>
      </c>
      <c r="J9" s="205" t="s">
        <v>41</v>
      </c>
      <c r="K9" s="205" t="s">
        <v>42</v>
      </c>
      <c r="L9" s="198">
        <v>46134</v>
      </c>
      <c r="M9" s="212"/>
      <c r="N9" s="218" t="s">
        <v>43</v>
      </c>
      <c r="P9" s="205" t="s">
        <v>532</v>
      </c>
      <c r="Q9" s="200" t="b">
        <v>0</v>
      </c>
      <c r="R9" s="196" t="s">
        <v>103</v>
      </c>
      <c r="S9" s="220" t="s">
        <v>508</v>
      </c>
      <c r="T9" s="196"/>
      <c r="U9" s="202" t="str">
        <f>IF(TablaDigital[[#This Row],[Fecha requerida]]="","N",IF(TablaDigital[[#This Row],[Fecha requerida]]&lt;=DATE(2026,4,30),"S","N"))</f>
        <v>S</v>
      </c>
    </row>
    <row r="10" spans="2:21" s="204" customFormat="1" ht="40.5" hidden="1" customHeight="1">
      <c r="B10" s="215">
        <v>8</v>
      </c>
      <c r="C10" s="214" t="s">
        <v>4</v>
      </c>
      <c r="D10" s="208" t="s">
        <v>35</v>
      </c>
      <c r="E10" s="207" t="s">
        <v>533</v>
      </c>
      <c r="F10" s="237" t="s">
        <v>4</v>
      </c>
      <c r="G10" s="205" t="s">
        <v>510</v>
      </c>
      <c r="H10" s="207" t="s">
        <v>534</v>
      </c>
      <c r="I10" s="206" t="s">
        <v>535</v>
      </c>
      <c r="J10" s="205" t="s">
        <v>41</v>
      </c>
      <c r="K10" s="205" t="s">
        <v>42</v>
      </c>
      <c r="L10" s="198">
        <v>46058</v>
      </c>
      <c r="M10" s="198">
        <v>46144</v>
      </c>
      <c r="N10" s="218" t="s">
        <v>43</v>
      </c>
      <c r="P10" s="205" t="s">
        <v>536</v>
      </c>
      <c r="Q10" s="200" t="b">
        <v>0</v>
      </c>
      <c r="R10" s="196" t="s">
        <v>103</v>
      </c>
      <c r="S10" s="220" t="s">
        <v>508</v>
      </c>
      <c r="T10" s="223" t="s">
        <v>509</v>
      </c>
      <c r="U10" s="202" t="str">
        <f>IF(TablaDigital[[#This Row],[Fecha requerida]]="","N",IF(TablaDigital[[#This Row],[Fecha requerida]]&lt;=DATE(2026,4,30),"S","N"))</f>
        <v>S</v>
      </c>
    </row>
    <row r="11" spans="2:21" s="204" customFormat="1" ht="40.5" hidden="1" customHeight="1">
      <c r="B11" s="215">
        <v>9</v>
      </c>
      <c r="C11" s="214" t="s">
        <v>4</v>
      </c>
      <c r="D11" s="208" t="s">
        <v>35</v>
      </c>
      <c r="E11" s="207" t="s">
        <v>537</v>
      </c>
      <c r="F11" s="237" t="s">
        <v>4</v>
      </c>
      <c r="G11" s="205" t="s">
        <v>510</v>
      </c>
      <c r="H11" s="207" t="s">
        <v>538</v>
      </c>
      <c r="I11" s="206" t="s">
        <v>539</v>
      </c>
      <c r="J11" s="205" t="s">
        <v>41</v>
      </c>
      <c r="K11" s="205" t="s">
        <v>42</v>
      </c>
      <c r="L11" s="198">
        <v>46060</v>
      </c>
      <c r="M11" s="212">
        <v>46205</v>
      </c>
      <c r="N11" s="218" t="s">
        <v>43</v>
      </c>
      <c r="P11" s="205" t="s">
        <v>536</v>
      </c>
      <c r="Q11" s="200" t="b">
        <v>0</v>
      </c>
      <c r="R11" s="196" t="s">
        <v>91</v>
      </c>
      <c r="S11" s="220" t="s">
        <v>508</v>
      </c>
      <c r="T11" s="224" t="s">
        <v>540</v>
      </c>
      <c r="U11" s="202" t="str">
        <f>IF(TablaDigital[[#This Row],[Fecha requerida]]="","N",IF(TablaDigital[[#This Row],[Fecha requerida]]&lt;=DATE(2026,4,30),"S","N"))</f>
        <v>S</v>
      </c>
    </row>
    <row r="12" spans="2:21" s="204" customFormat="1" ht="40.5" hidden="1" customHeight="1">
      <c r="B12" s="215">
        <v>10</v>
      </c>
      <c r="C12" s="214" t="s">
        <v>4</v>
      </c>
      <c r="D12" s="208" t="s">
        <v>35</v>
      </c>
      <c r="E12" s="207" t="s">
        <v>541</v>
      </c>
      <c r="F12" s="237" t="s">
        <v>4</v>
      </c>
      <c r="G12" s="205" t="s">
        <v>510</v>
      </c>
      <c r="H12" s="207" t="s">
        <v>542</v>
      </c>
      <c r="I12" s="206" t="s">
        <v>543</v>
      </c>
      <c r="J12" s="205" t="s">
        <v>41</v>
      </c>
      <c r="K12" s="205" t="s">
        <v>42</v>
      </c>
      <c r="L12" s="198">
        <v>46060</v>
      </c>
      <c r="M12" s="212">
        <v>46205</v>
      </c>
      <c r="N12" s="218" t="s">
        <v>43</v>
      </c>
      <c r="P12" s="205" t="s">
        <v>536</v>
      </c>
      <c r="Q12" s="200" t="b">
        <v>0</v>
      </c>
      <c r="R12" s="196" t="s">
        <v>91</v>
      </c>
      <c r="S12" s="220" t="s">
        <v>508</v>
      </c>
      <c r="T12" s="224" t="s">
        <v>540</v>
      </c>
      <c r="U12" s="202" t="str">
        <f>IF(TablaDigital[[#This Row],[Fecha requerida]]="","N",IF(TablaDigital[[#This Row],[Fecha requerida]]&lt;=DATE(2026,4,30),"S","N"))</f>
        <v>S</v>
      </c>
    </row>
    <row r="13" spans="2:21" s="204" customFormat="1" ht="44.25" hidden="1" customHeight="1">
      <c r="B13" s="215">
        <v>11</v>
      </c>
      <c r="C13" s="214" t="s">
        <v>4</v>
      </c>
      <c r="D13" s="208" t="s">
        <v>35</v>
      </c>
      <c r="E13" s="207" t="s">
        <v>544</v>
      </c>
      <c r="F13" s="237" t="s">
        <v>4</v>
      </c>
      <c r="G13" s="205" t="s">
        <v>510</v>
      </c>
      <c r="H13" s="207" t="s">
        <v>545</v>
      </c>
      <c r="I13" s="206" t="s">
        <v>546</v>
      </c>
      <c r="J13" s="205" t="s">
        <v>41</v>
      </c>
      <c r="K13" s="205" t="s">
        <v>42</v>
      </c>
      <c r="L13" s="198">
        <v>46058</v>
      </c>
      <c r="M13" s="198">
        <v>46144</v>
      </c>
      <c r="N13" s="218" t="s">
        <v>43</v>
      </c>
      <c r="P13" s="205" t="s">
        <v>536</v>
      </c>
      <c r="Q13" s="200" t="b">
        <v>0</v>
      </c>
      <c r="R13" s="196" t="s">
        <v>103</v>
      </c>
      <c r="S13" s="220" t="s">
        <v>508</v>
      </c>
      <c r="T13" s="224" t="s">
        <v>540</v>
      </c>
      <c r="U13" s="202" t="str">
        <f>IF(TablaDigital[[#This Row],[Fecha requerida]]="","N",IF(TablaDigital[[#This Row],[Fecha requerida]]&lt;=DATE(2026,4,30),"S","N"))</f>
        <v>S</v>
      </c>
    </row>
    <row r="14" spans="2:21" s="204" customFormat="1" ht="44.25" customHeight="1">
      <c r="B14" s="215">
        <v>12</v>
      </c>
      <c r="C14" s="214" t="s">
        <v>4</v>
      </c>
      <c r="D14" s="208" t="s">
        <v>35</v>
      </c>
      <c r="E14" s="207" t="s">
        <v>544</v>
      </c>
      <c r="F14" s="237" t="s">
        <v>4</v>
      </c>
      <c r="G14" s="205" t="s">
        <v>510</v>
      </c>
      <c r="H14" s="207" t="s">
        <v>547</v>
      </c>
      <c r="I14" s="205" t="s">
        <v>548</v>
      </c>
      <c r="J14" s="205" t="s">
        <v>267</v>
      </c>
      <c r="K14" s="205" t="s">
        <v>42</v>
      </c>
      <c r="L14" s="198">
        <v>46101</v>
      </c>
      <c r="M14" s="198"/>
      <c r="N14" s="212">
        <v>46101</v>
      </c>
      <c r="P14" s="205" t="s">
        <v>536</v>
      </c>
      <c r="Q14" s="200" t="b">
        <v>1</v>
      </c>
      <c r="R14" s="201" t="s">
        <v>179</v>
      </c>
      <c r="S14" s="220" t="s">
        <v>508</v>
      </c>
      <c r="T14" s="195" t="s">
        <v>549</v>
      </c>
      <c r="U14" s="202" t="str">
        <f>IF(TablaDigital[[#This Row],[Fecha requerida]]="","N",IF(TablaDigital[[#This Row],[Fecha requerida]]&lt;=DATE(2026,4,30),"S","N"))</f>
        <v>S</v>
      </c>
    </row>
    <row r="15" spans="2:21" s="204" customFormat="1" ht="44.25" hidden="1" customHeight="1">
      <c r="B15" s="215">
        <v>13</v>
      </c>
      <c r="C15" s="214" t="s">
        <v>4</v>
      </c>
      <c r="D15" s="208" t="s">
        <v>35</v>
      </c>
      <c r="E15" s="207" t="s">
        <v>544</v>
      </c>
      <c r="F15" s="237" t="s">
        <v>4</v>
      </c>
      <c r="G15" s="205" t="s">
        <v>510</v>
      </c>
      <c r="H15" s="209" t="s">
        <v>550</v>
      </c>
      <c r="I15" s="210" t="s">
        <v>551</v>
      </c>
      <c r="J15" s="210" t="s">
        <v>41</v>
      </c>
      <c r="K15" s="210" t="s">
        <v>59</v>
      </c>
      <c r="L15" s="198">
        <v>46112</v>
      </c>
      <c r="M15" s="212"/>
      <c r="N15" s="211">
        <v>46238</v>
      </c>
      <c r="P15" s="210" t="s">
        <v>536</v>
      </c>
      <c r="Q15" s="200" t="b">
        <v>0</v>
      </c>
      <c r="R15" s="196" t="s">
        <v>91</v>
      </c>
      <c r="S15" s="221" t="s">
        <v>508</v>
      </c>
      <c r="T15" s="196"/>
      <c r="U15" s="202" t="str">
        <f>IF(TablaDigital[[#This Row],[Fecha requerida]]="","N",IF(TablaDigital[[#This Row],[Fecha requerida]]&lt;=DATE(2026,4,30),"S","N"))</f>
        <v>S</v>
      </c>
    </row>
    <row r="16" spans="2:21" s="204" customFormat="1" ht="44.25" hidden="1" customHeight="1">
      <c r="B16" s="215">
        <v>14</v>
      </c>
      <c r="C16" s="214" t="s">
        <v>4</v>
      </c>
      <c r="D16" s="208" t="s">
        <v>35</v>
      </c>
      <c r="E16" s="207" t="s">
        <v>544</v>
      </c>
      <c r="F16" s="237" t="s">
        <v>4</v>
      </c>
      <c r="G16" s="205" t="s">
        <v>510</v>
      </c>
      <c r="H16" s="207" t="s">
        <v>552</v>
      </c>
      <c r="I16" s="206" t="s">
        <v>553</v>
      </c>
      <c r="J16" s="205" t="s">
        <v>41</v>
      </c>
      <c r="K16" s="205" t="s">
        <v>59</v>
      </c>
      <c r="L16" s="198">
        <v>46299</v>
      </c>
      <c r="M16" s="212"/>
      <c r="N16" s="212">
        <v>46299</v>
      </c>
      <c r="P16" s="205" t="s">
        <v>536</v>
      </c>
      <c r="Q16" s="200" t="b">
        <v>0</v>
      </c>
      <c r="R16" s="196" t="s">
        <v>91</v>
      </c>
      <c r="S16" s="220" t="s">
        <v>508</v>
      </c>
      <c r="T16" s="196"/>
      <c r="U16" s="202" t="str">
        <f>IF(TablaDigital[[#This Row],[Fecha requerida]]="","N",IF(TablaDigital[[#This Row],[Fecha requerida]]&lt;=DATE(2026,4,30),"S","N"))</f>
        <v>N</v>
      </c>
    </row>
    <row r="17" spans="2:21" s="204" customFormat="1" ht="44.25" hidden="1" customHeight="1">
      <c r="B17" s="215">
        <v>15</v>
      </c>
      <c r="C17" s="214" t="s">
        <v>4</v>
      </c>
      <c r="D17" s="208" t="s">
        <v>35</v>
      </c>
      <c r="E17" s="207" t="s">
        <v>544</v>
      </c>
      <c r="F17" s="237" t="s">
        <v>4</v>
      </c>
      <c r="G17" s="205" t="s">
        <v>510</v>
      </c>
      <c r="H17" s="207" t="s">
        <v>554</v>
      </c>
      <c r="I17" s="205" t="s">
        <v>555</v>
      </c>
      <c r="J17" s="205" t="s">
        <v>267</v>
      </c>
      <c r="K17" s="205" t="s">
        <v>556</v>
      </c>
      <c r="L17" s="198">
        <v>46142</v>
      </c>
      <c r="M17" s="198"/>
      <c r="N17" s="212">
        <v>46142</v>
      </c>
      <c r="P17" s="205" t="s">
        <v>536</v>
      </c>
      <c r="Q17" s="200" t="b">
        <v>1</v>
      </c>
      <c r="R17" s="205" t="s">
        <v>169</v>
      </c>
      <c r="S17" s="220"/>
      <c r="T17" s="195" t="s">
        <v>557</v>
      </c>
      <c r="U17" s="202" t="str">
        <f>IF(TablaDigital[[#This Row],[Fecha requerida]]="","N",IF(TablaDigital[[#This Row],[Fecha requerida]]&lt;=DATE(2026,4,30),"S","N"))</f>
        <v>S</v>
      </c>
    </row>
    <row r="18" spans="2:21" s="204" customFormat="1" ht="44.25" hidden="1" customHeight="1">
      <c r="B18" s="215">
        <v>16</v>
      </c>
      <c r="C18" s="214" t="s">
        <v>4</v>
      </c>
      <c r="D18" s="208" t="s">
        <v>35</v>
      </c>
      <c r="E18" s="207" t="s">
        <v>558</v>
      </c>
      <c r="F18" s="237" t="s">
        <v>4</v>
      </c>
      <c r="G18" s="205" t="s">
        <v>559</v>
      </c>
      <c r="H18" s="207" t="s">
        <v>560</v>
      </c>
      <c r="I18" s="205" t="s">
        <v>561</v>
      </c>
      <c r="J18" s="205" t="s">
        <v>41</v>
      </c>
      <c r="K18" s="205" t="s">
        <v>59</v>
      </c>
      <c r="L18" s="198">
        <v>46235</v>
      </c>
      <c r="M18" s="198">
        <v>46235</v>
      </c>
      <c r="N18" s="212">
        <v>46030</v>
      </c>
      <c r="P18" s="205" t="s">
        <v>562</v>
      </c>
      <c r="Q18" s="200" t="b">
        <v>1</v>
      </c>
      <c r="R18" s="196" t="s">
        <v>103</v>
      </c>
      <c r="S18" s="222" t="s">
        <v>508</v>
      </c>
      <c r="T18" s="223" t="s">
        <v>563</v>
      </c>
      <c r="U18" s="202" t="str">
        <f>IF(TablaDigital[[#This Row],[Fecha requerida]]="","N",IF(TablaDigital[[#This Row],[Fecha requerida]]&lt;=DATE(2026,4,30),"S","N"))</f>
        <v>N</v>
      </c>
    </row>
    <row r="19" spans="2:21" s="204" customFormat="1" ht="44.25" customHeight="1">
      <c r="B19" s="215">
        <v>17</v>
      </c>
      <c r="C19" s="214" t="s">
        <v>4</v>
      </c>
      <c r="D19" s="208" t="s">
        <v>35</v>
      </c>
      <c r="E19" s="207" t="s">
        <v>564</v>
      </c>
      <c r="F19" s="237" t="s">
        <v>4</v>
      </c>
      <c r="G19" s="205" t="s">
        <v>565</v>
      </c>
      <c r="H19" s="207" t="s">
        <v>566</v>
      </c>
      <c r="I19" s="205" t="s">
        <v>567</v>
      </c>
      <c r="J19" s="205" t="s">
        <v>267</v>
      </c>
      <c r="K19" s="205" t="s">
        <v>238</v>
      </c>
      <c r="L19" s="198">
        <v>46113</v>
      </c>
      <c r="M19" s="198">
        <v>46113</v>
      </c>
      <c r="N19" s="212">
        <v>46026</v>
      </c>
      <c r="P19" s="205" t="s">
        <v>568</v>
      </c>
      <c r="Q19" s="200" t="b">
        <v>1</v>
      </c>
      <c r="R19" s="201" t="s">
        <v>179</v>
      </c>
      <c r="S19" s="222" t="s">
        <v>508</v>
      </c>
      <c r="T19" s="224" t="s">
        <v>569</v>
      </c>
      <c r="U19" s="202" t="str">
        <f>IF(TablaDigital[[#This Row],[Fecha requerida]]="","N",IF(TablaDigital[[#This Row],[Fecha requerida]]&lt;=DATE(2026,4,30),"S","N"))</f>
        <v>S</v>
      </c>
    </row>
    <row r="20" spans="2:21" s="204" customFormat="1" ht="44.25" hidden="1" customHeight="1">
      <c r="B20" s="215">
        <v>18</v>
      </c>
      <c r="C20" s="214" t="s">
        <v>4</v>
      </c>
      <c r="D20" s="208" t="s">
        <v>35</v>
      </c>
      <c r="E20" s="207" t="s">
        <v>570</v>
      </c>
      <c r="F20" s="237" t="s">
        <v>4</v>
      </c>
      <c r="G20" s="205" t="s">
        <v>245</v>
      </c>
      <c r="H20" s="207" t="s">
        <v>571</v>
      </c>
      <c r="I20" s="205" t="s">
        <v>572</v>
      </c>
      <c r="J20" s="205" t="s">
        <v>41</v>
      </c>
      <c r="K20" s="205" t="s">
        <v>42</v>
      </c>
      <c r="L20" s="198">
        <v>46157</v>
      </c>
      <c r="M20" s="198"/>
      <c r="N20" s="212"/>
      <c r="P20" s="205"/>
      <c r="Q20" s="200" t="b">
        <v>0</v>
      </c>
      <c r="R20" s="213"/>
      <c r="S20" s="222"/>
      <c r="T20" s="196"/>
      <c r="U20" s="202" t="str">
        <f>IF(TablaDigital[[#This Row],[Fecha requerida]]="","N",IF(TablaDigital[[#This Row],[Fecha requerida]]&lt;=DATE(2026,4,30),"S","N"))</f>
        <v>N</v>
      </c>
    </row>
    <row r="21" spans="2:21" s="204" customFormat="1" ht="44.25" hidden="1" customHeight="1">
      <c r="B21" s="215">
        <v>19</v>
      </c>
      <c r="C21" s="214" t="s">
        <v>4</v>
      </c>
      <c r="D21" s="208" t="s">
        <v>35</v>
      </c>
      <c r="E21" s="207" t="s">
        <v>573</v>
      </c>
      <c r="F21" s="237" t="s">
        <v>4</v>
      </c>
      <c r="G21" s="205" t="s">
        <v>245</v>
      </c>
      <c r="H21" s="207" t="s">
        <v>574</v>
      </c>
      <c r="I21" s="205" t="s">
        <v>575</v>
      </c>
      <c r="J21" s="205" t="s">
        <v>41</v>
      </c>
      <c r="K21" s="205" t="s">
        <v>42</v>
      </c>
      <c r="L21" s="198">
        <v>46157</v>
      </c>
      <c r="M21" s="198"/>
      <c r="N21" s="212"/>
      <c r="P21" s="205"/>
      <c r="Q21" s="200" t="b">
        <v>0</v>
      </c>
      <c r="R21" s="213"/>
      <c r="S21" s="222"/>
      <c r="T21" s="196"/>
      <c r="U21" s="202" t="str">
        <f>IF(TablaDigital[[#This Row],[Fecha requerida]]="","N",IF(TablaDigital[[#This Row],[Fecha requerida]]&lt;=DATE(2026,4,30),"S","N"))</f>
        <v>N</v>
      </c>
    </row>
    <row r="22" spans="2:21" ht="15" customHeight="1">
      <c r="I22"/>
      <c r="J22"/>
    </row>
    <row r="24" spans="2:21" ht="15" customHeight="1">
      <c r="I24"/>
      <c r="J24"/>
      <c r="K24"/>
    </row>
    <row r="25" spans="2:21" ht="15" customHeight="1">
      <c r="I25"/>
      <c r="J25"/>
      <c r="K25"/>
    </row>
    <row r="26" spans="2:21" ht="15" customHeight="1">
      <c r="I26"/>
      <c r="J26"/>
      <c r="K26"/>
    </row>
    <row r="27" spans="2:21" ht="15" customHeight="1">
      <c r="I27"/>
      <c r="J27"/>
      <c r="K27"/>
    </row>
    <row r="28" spans="2:21" ht="15" customHeight="1">
      <c r="I28"/>
      <c r="J28"/>
      <c r="K28"/>
    </row>
    <row r="29" spans="2:21" ht="15" customHeight="1">
      <c r="I29"/>
      <c r="J29"/>
      <c r="K29"/>
    </row>
  </sheetData>
  <dataValidations count="2">
    <dataValidation type="date" allowBlank="1" showInputMessage="1" showErrorMessage="1" sqref="L1:M1048576" xr:uid="{0F4060F2-C36D-46C2-9A10-35282E8DB40D}">
      <formula1>46023</formula1>
      <formula2>46387</formula2>
    </dataValidation>
    <dataValidation type="date" allowBlank="1" showInputMessage="1" showErrorMessage="1" errorTitle="ingrese solo una fecha" promptTitle="solo debes ingresar fecha" sqref="N1:N1048576" xr:uid="{4A10DC49-4F7C-4687-88D4-3222E93A0B89}">
      <formula1>46023</formula1>
      <formula2>46387</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174DDB18-852F-409E-AA78-CE3E5EA58E82}">
          <x14:formula1>
            <xm:f>Parametros!$B$2:$B$6</xm:f>
          </x14:formula1>
          <xm:sqref>R1:R1048576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AB0C3-D78D-46EE-BA41-FEE7F7B37535}">
  <dimension ref="A1:O4"/>
  <sheetViews>
    <sheetView workbookViewId="0"/>
  </sheetViews>
  <sheetFormatPr baseColWidth="10" defaultColWidth="11.453125" defaultRowHeight="14.5"/>
  <cols>
    <col min="1" max="1" width="11.54296875" bestFit="1" customWidth="1"/>
    <col min="2" max="2" width="9.81640625" bestFit="1" customWidth="1"/>
    <col min="3" max="3" width="25.453125" bestFit="1" customWidth="1"/>
    <col min="4" max="4" width="18.54296875" bestFit="1" customWidth="1"/>
    <col min="5" max="5" width="49.54296875" bestFit="1" customWidth="1"/>
    <col min="6" max="6" width="37.54296875" bestFit="1" customWidth="1"/>
    <col min="7" max="7" width="22" bestFit="1" customWidth="1"/>
    <col min="8" max="8" width="12.1796875" bestFit="1" customWidth="1"/>
    <col min="9" max="9" width="18" bestFit="1" customWidth="1"/>
    <col min="10" max="10" width="17.54296875" bestFit="1" customWidth="1"/>
    <col min="11" max="11" width="20" bestFit="1" customWidth="1"/>
    <col min="12" max="12" width="15" bestFit="1" customWidth="1"/>
    <col min="13" max="13" width="19.54296875" bestFit="1" customWidth="1"/>
    <col min="14" max="14" width="11.453125" bestFit="1" customWidth="1"/>
    <col min="15" max="15" width="16.453125" bestFit="1" customWidth="1"/>
  </cols>
  <sheetData>
    <row r="1" spans="1:15">
      <c r="A1" s="65" t="s">
        <v>576</v>
      </c>
    </row>
    <row r="3" spans="1:15">
      <c r="A3" t="s">
        <v>20</v>
      </c>
      <c r="B3" t="s">
        <v>21</v>
      </c>
      <c r="C3" t="s">
        <v>22</v>
      </c>
      <c r="D3" t="s">
        <v>23</v>
      </c>
      <c r="E3" t="s">
        <v>24</v>
      </c>
      <c r="F3" t="s">
        <v>25</v>
      </c>
      <c r="G3" t="s">
        <v>26</v>
      </c>
      <c r="H3" t="s">
        <v>27</v>
      </c>
      <c r="I3" t="s">
        <v>28</v>
      </c>
      <c r="J3" t="s">
        <v>29</v>
      </c>
      <c r="K3" t="s">
        <v>30</v>
      </c>
      <c r="L3" t="s">
        <v>31</v>
      </c>
      <c r="M3" t="s">
        <v>32</v>
      </c>
      <c r="N3" t="s">
        <v>33</v>
      </c>
      <c r="O3" t="s">
        <v>34</v>
      </c>
    </row>
    <row r="4" spans="1:15">
      <c r="A4" t="s">
        <v>35</v>
      </c>
      <c r="B4" t="s">
        <v>577</v>
      </c>
      <c r="C4" t="s">
        <v>578</v>
      </c>
      <c r="D4" t="s">
        <v>5</v>
      </c>
      <c r="E4" t="s">
        <v>579</v>
      </c>
      <c r="F4" t="s">
        <v>580</v>
      </c>
      <c r="G4" t="s">
        <v>267</v>
      </c>
      <c r="H4" t="s">
        <v>59</v>
      </c>
      <c r="I4" s="74">
        <v>46199</v>
      </c>
      <c r="L4" t="s">
        <v>44</v>
      </c>
      <c r="M4" t="b">
        <v>0</v>
      </c>
      <c r="N4" t="s">
        <v>75</v>
      </c>
      <c r="O4" t="s">
        <v>46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4F449-F598-4645-9AC2-B6C0B7400C72}">
  <dimension ref="A1:O4"/>
  <sheetViews>
    <sheetView workbookViewId="0"/>
  </sheetViews>
  <sheetFormatPr baseColWidth="10" defaultColWidth="11.453125" defaultRowHeight="14.5"/>
  <cols>
    <col min="1" max="1" width="11.54296875" bestFit="1" customWidth="1"/>
    <col min="2" max="2" width="9.81640625" bestFit="1" customWidth="1"/>
    <col min="3" max="3" width="25.453125" bestFit="1" customWidth="1"/>
    <col min="4" max="4" width="18.54296875" bestFit="1" customWidth="1"/>
    <col min="5" max="5" width="32.453125" bestFit="1" customWidth="1"/>
    <col min="6" max="6" width="35.453125" bestFit="1" customWidth="1"/>
    <col min="7" max="7" width="22" bestFit="1" customWidth="1"/>
    <col min="8" max="8" width="12.1796875" bestFit="1" customWidth="1"/>
    <col min="9" max="9" width="18" bestFit="1" customWidth="1"/>
    <col min="10" max="10" width="17.54296875" bestFit="1" customWidth="1"/>
    <col min="11" max="11" width="20" bestFit="1" customWidth="1"/>
    <col min="12" max="12" width="15" bestFit="1" customWidth="1"/>
    <col min="13" max="13" width="19.54296875" bestFit="1" customWidth="1"/>
    <col min="14" max="14" width="11.453125" bestFit="1" customWidth="1"/>
    <col min="15" max="15" width="16.453125" bestFit="1" customWidth="1"/>
  </cols>
  <sheetData>
    <row r="1" spans="1:15">
      <c r="A1" s="65" t="s">
        <v>581</v>
      </c>
    </row>
    <row r="3" spans="1:15">
      <c r="A3" t="s">
        <v>20</v>
      </c>
      <c r="B3" t="s">
        <v>21</v>
      </c>
      <c r="C3" t="s">
        <v>22</v>
      </c>
      <c r="D3" t="s">
        <v>23</v>
      </c>
      <c r="E3" t="s">
        <v>24</v>
      </c>
      <c r="F3" t="s">
        <v>25</v>
      </c>
      <c r="G3" t="s">
        <v>26</v>
      </c>
      <c r="H3" t="s">
        <v>27</v>
      </c>
      <c r="I3" t="s">
        <v>28</v>
      </c>
      <c r="J3" t="s">
        <v>29</v>
      </c>
      <c r="K3" t="s">
        <v>30</v>
      </c>
      <c r="L3" t="s">
        <v>31</v>
      </c>
      <c r="M3" t="s">
        <v>32</v>
      </c>
      <c r="N3" t="s">
        <v>33</v>
      </c>
      <c r="O3" t="s">
        <v>34</v>
      </c>
    </row>
    <row r="4" spans="1:15">
      <c r="A4" t="s">
        <v>35</v>
      </c>
      <c r="B4" t="s">
        <v>582</v>
      </c>
      <c r="C4" t="s">
        <v>578</v>
      </c>
      <c r="D4" t="s">
        <v>583</v>
      </c>
      <c r="E4" t="s">
        <v>584</v>
      </c>
      <c r="F4" t="s">
        <v>585</v>
      </c>
      <c r="G4" t="s">
        <v>267</v>
      </c>
      <c r="H4" t="s">
        <v>59</v>
      </c>
      <c r="I4" s="74">
        <v>46108</v>
      </c>
      <c r="L4" t="s">
        <v>44</v>
      </c>
      <c r="M4" t="b">
        <v>0</v>
      </c>
      <c r="N4" t="s">
        <v>75</v>
      </c>
      <c r="O4" t="s">
        <v>46</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DCE04-3C0E-44C5-997E-EB4D4F6B3BC7}">
  <dimension ref="A1:O4"/>
  <sheetViews>
    <sheetView workbookViewId="0"/>
  </sheetViews>
  <sheetFormatPr baseColWidth="10" defaultColWidth="11.453125" defaultRowHeight="14.5"/>
  <cols>
    <col min="1" max="1" width="11.54296875" bestFit="1" customWidth="1"/>
    <col min="2" max="2" width="9.81640625" bestFit="1" customWidth="1"/>
    <col min="3" max="3" width="25.453125" bestFit="1" customWidth="1"/>
    <col min="4" max="4" width="18.54296875" bestFit="1" customWidth="1"/>
    <col min="5" max="5" width="24" bestFit="1" customWidth="1"/>
    <col min="6" max="6" width="35.81640625" bestFit="1" customWidth="1"/>
    <col min="7" max="7" width="22" bestFit="1" customWidth="1"/>
    <col min="8" max="8" width="12.1796875" bestFit="1" customWidth="1"/>
    <col min="9" max="9" width="18" bestFit="1" customWidth="1"/>
    <col min="10" max="10" width="17.54296875" bestFit="1" customWidth="1"/>
    <col min="11" max="11" width="20" bestFit="1" customWidth="1"/>
    <col min="12" max="12" width="15" bestFit="1" customWidth="1"/>
    <col min="13" max="13" width="19.54296875" bestFit="1" customWidth="1"/>
    <col min="14" max="14" width="11.453125" bestFit="1" customWidth="1"/>
    <col min="15" max="15" width="16.453125" bestFit="1" customWidth="1"/>
  </cols>
  <sheetData>
    <row r="1" spans="1:15">
      <c r="A1" s="65" t="s">
        <v>586</v>
      </c>
    </row>
    <row r="3" spans="1:15">
      <c r="A3" t="s">
        <v>20</v>
      </c>
      <c r="B3" t="s">
        <v>21</v>
      </c>
      <c r="C3" t="s">
        <v>22</v>
      </c>
      <c r="D3" t="s">
        <v>23</v>
      </c>
      <c r="E3" t="s">
        <v>24</v>
      </c>
      <c r="F3" t="s">
        <v>25</v>
      </c>
      <c r="G3" t="s">
        <v>26</v>
      </c>
      <c r="H3" t="s">
        <v>27</v>
      </c>
      <c r="I3" t="s">
        <v>28</v>
      </c>
      <c r="J3" t="s">
        <v>29</v>
      </c>
      <c r="K3" t="s">
        <v>30</v>
      </c>
      <c r="L3" t="s">
        <v>31</v>
      </c>
      <c r="M3" t="s">
        <v>32</v>
      </c>
      <c r="N3" t="s">
        <v>33</v>
      </c>
      <c r="O3" t="s">
        <v>34</v>
      </c>
    </row>
    <row r="4" spans="1:15">
      <c r="A4" t="s">
        <v>35</v>
      </c>
      <c r="B4" t="s">
        <v>587</v>
      </c>
      <c r="C4" t="s">
        <v>578</v>
      </c>
      <c r="D4" t="s">
        <v>37</v>
      </c>
      <c r="E4" t="s">
        <v>588</v>
      </c>
      <c r="F4" t="s">
        <v>589</v>
      </c>
      <c r="G4" t="s">
        <v>41</v>
      </c>
      <c r="H4" t="s">
        <v>59</v>
      </c>
      <c r="I4" s="74">
        <v>46108</v>
      </c>
      <c r="L4" t="s">
        <v>44</v>
      </c>
      <c r="M4" t="b">
        <v>0</v>
      </c>
      <c r="N4" t="s">
        <v>75</v>
      </c>
      <c r="O4" t="s">
        <v>46</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2273F-6B6D-40C2-B991-60D0A50F59A2}">
  <dimension ref="A1:O4"/>
  <sheetViews>
    <sheetView workbookViewId="0"/>
  </sheetViews>
  <sheetFormatPr baseColWidth="10" defaultColWidth="11.453125" defaultRowHeight="14.5"/>
  <cols>
    <col min="1" max="1" width="11.54296875" bestFit="1" customWidth="1"/>
    <col min="2" max="2" width="9.81640625" bestFit="1" customWidth="1"/>
    <col min="3" max="3" width="25.453125" bestFit="1" customWidth="1"/>
    <col min="4" max="4" width="18.54296875" bestFit="1" customWidth="1"/>
    <col min="5" max="5" width="18" bestFit="1" customWidth="1"/>
    <col min="6" max="6" width="34.453125" bestFit="1" customWidth="1"/>
    <col min="7" max="7" width="22" bestFit="1" customWidth="1"/>
    <col min="8" max="8" width="12.1796875" bestFit="1" customWidth="1"/>
    <col min="9" max="9" width="18" bestFit="1" customWidth="1"/>
    <col min="10" max="10" width="17.54296875" bestFit="1" customWidth="1"/>
    <col min="11" max="11" width="20" bestFit="1" customWidth="1"/>
    <col min="12" max="12" width="15" bestFit="1" customWidth="1"/>
    <col min="13" max="13" width="19.54296875" bestFit="1" customWidth="1"/>
    <col min="14" max="14" width="11.453125" bestFit="1" customWidth="1"/>
    <col min="15" max="15" width="16.453125" bestFit="1" customWidth="1"/>
  </cols>
  <sheetData>
    <row r="1" spans="1:15">
      <c r="A1" s="65" t="s">
        <v>590</v>
      </c>
    </row>
    <row r="3" spans="1:15">
      <c r="A3" t="s">
        <v>20</v>
      </c>
      <c r="B3" t="s">
        <v>21</v>
      </c>
      <c r="C3" t="s">
        <v>22</v>
      </c>
      <c r="D3" t="s">
        <v>23</v>
      </c>
      <c r="E3" t="s">
        <v>24</v>
      </c>
      <c r="F3" t="s">
        <v>25</v>
      </c>
      <c r="G3" t="s">
        <v>26</v>
      </c>
      <c r="H3" t="s">
        <v>27</v>
      </c>
      <c r="I3" t="s">
        <v>28</v>
      </c>
      <c r="J3" t="s">
        <v>29</v>
      </c>
      <c r="K3" t="s">
        <v>30</v>
      </c>
      <c r="L3" t="s">
        <v>31</v>
      </c>
      <c r="M3" t="s">
        <v>32</v>
      </c>
      <c r="N3" t="s">
        <v>33</v>
      </c>
      <c r="O3" t="s">
        <v>34</v>
      </c>
    </row>
    <row r="4" spans="1:15">
      <c r="A4" t="s">
        <v>35</v>
      </c>
      <c r="B4" t="s">
        <v>591</v>
      </c>
      <c r="C4" t="s">
        <v>578</v>
      </c>
      <c r="D4" t="s">
        <v>592</v>
      </c>
      <c r="E4" t="s">
        <v>593</v>
      </c>
      <c r="F4" t="s">
        <v>594</v>
      </c>
      <c r="G4" t="s">
        <v>41</v>
      </c>
      <c r="H4" t="s">
        <v>59</v>
      </c>
      <c r="I4" s="74">
        <v>46227</v>
      </c>
      <c r="L4" t="s">
        <v>44</v>
      </c>
      <c r="M4" t="b">
        <v>0</v>
      </c>
      <c r="N4" t="s">
        <v>75</v>
      </c>
      <c r="O4" t="s">
        <v>46</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D465F-57C8-4BE9-BCBA-F3580B4CBB27}">
  <dimension ref="A1:O4"/>
  <sheetViews>
    <sheetView workbookViewId="0"/>
  </sheetViews>
  <sheetFormatPr baseColWidth="10" defaultColWidth="11.453125" defaultRowHeight="14.5"/>
  <cols>
    <col min="1" max="1" width="11.54296875" bestFit="1" customWidth="1"/>
    <col min="2" max="2" width="9.81640625" bestFit="1" customWidth="1"/>
    <col min="3" max="3" width="25.453125" bestFit="1" customWidth="1"/>
    <col min="4" max="4" width="18.54296875" bestFit="1" customWidth="1"/>
    <col min="5" max="5" width="18" bestFit="1" customWidth="1"/>
    <col min="6" max="6" width="34.453125" bestFit="1" customWidth="1"/>
    <col min="7" max="7" width="22" bestFit="1" customWidth="1"/>
    <col min="8" max="8" width="12.1796875" bestFit="1" customWidth="1"/>
    <col min="9" max="9" width="18" bestFit="1" customWidth="1"/>
    <col min="10" max="10" width="17.54296875" bestFit="1" customWidth="1"/>
    <col min="11" max="11" width="20" bestFit="1" customWidth="1"/>
    <col min="12" max="12" width="15" bestFit="1" customWidth="1"/>
    <col min="13" max="13" width="19.54296875" bestFit="1" customWidth="1"/>
    <col min="14" max="14" width="11.453125" bestFit="1" customWidth="1"/>
    <col min="15" max="15" width="16.453125" bestFit="1" customWidth="1"/>
  </cols>
  <sheetData>
    <row r="1" spans="1:15">
      <c r="A1" s="65" t="s">
        <v>590</v>
      </c>
    </row>
    <row r="3" spans="1:15">
      <c r="A3" t="s">
        <v>20</v>
      </c>
      <c r="B3" t="s">
        <v>21</v>
      </c>
      <c r="C3" t="s">
        <v>22</v>
      </c>
      <c r="D3" t="s">
        <v>23</v>
      </c>
      <c r="E3" t="s">
        <v>24</v>
      </c>
      <c r="F3" t="s">
        <v>25</v>
      </c>
      <c r="G3" t="s">
        <v>26</v>
      </c>
      <c r="H3" t="s">
        <v>27</v>
      </c>
      <c r="I3" t="s">
        <v>28</v>
      </c>
      <c r="J3" t="s">
        <v>29</v>
      </c>
      <c r="K3" t="s">
        <v>30</v>
      </c>
      <c r="L3" t="s">
        <v>31</v>
      </c>
      <c r="M3" t="s">
        <v>32</v>
      </c>
      <c r="N3" t="s">
        <v>33</v>
      </c>
      <c r="O3" t="s">
        <v>34</v>
      </c>
    </row>
    <row r="4" spans="1:15">
      <c r="A4" t="s">
        <v>35</v>
      </c>
      <c r="B4" t="s">
        <v>591</v>
      </c>
      <c r="C4" t="s">
        <v>578</v>
      </c>
      <c r="D4" t="s">
        <v>592</v>
      </c>
      <c r="E4" t="s">
        <v>593</v>
      </c>
      <c r="F4" t="s">
        <v>594</v>
      </c>
      <c r="G4" t="s">
        <v>41</v>
      </c>
      <c r="H4" t="s">
        <v>59</v>
      </c>
      <c r="I4" s="74">
        <v>46227</v>
      </c>
      <c r="L4" t="s">
        <v>44</v>
      </c>
      <c r="M4" t="b">
        <v>0</v>
      </c>
      <c r="N4" t="s">
        <v>75</v>
      </c>
      <c r="O4" t="s">
        <v>46</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FD7E2-027A-4F01-9C32-623E9C2371AE}">
  <dimension ref="A1:B95"/>
  <sheetViews>
    <sheetView topLeftCell="A56" workbookViewId="0">
      <selection activeCell="A26" sqref="A26"/>
    </sheetView>
  </sheetViews>
  <sheetFormatPr baseColWidth="10" defaultColWidth="11.453125" defaultRowHeight="14.5"/>
  <cols>
    <col min="1" max="1" width="178.54296875" bestFit="1" customWidth="1"/>
    <col min="2" max="2" width="19.7265625" bestFit="1" customWidth="1"/>
    <col min="3" max="3" width="11.453125" bestFit="1" customWidth="1"/>
    <col min="4" max="4" width="8" bestFit="1" customWidth="1"/>
    <col min="5" max="5" width="16.1796875" bestFit="1" customWidth="1"/>
    <col min="6" max="6" width="13.54296875" bestFit="1" customWidth="1"/>
    <col min="7" max="7" width="9.1796875" bestFit="1" customWidth="1"/>
    <col min="8" max="8" width="13.1796875" bestFit="1" customWidth="1"/>
    <col min="9" max="9" width="4.81640625" bestFit="1" customWidth="1"/>
    <col min="10" max="10" width="6.453125" bestFit="1" customWidth="1"/>
    <col min="11" max="11" width="4.54296875" bestFit="1" customWidth="1"/>
    <col min="12" max="12" width="23.54296875" bestFit="1" customWidth="1"/>
    <col min="13" max="13" width="13.453125" bestFit="1" customWidth="1"/>
    <col min="14" max="14" width="14.453125" bestFit="1" customWidth="1"/>
    <col min="15" max="15" width="6" bestFit="1" customWidth="1"/>
    <col min="16" max="16" width="9.453125" bestFit="1" customWidth="1"/>
    <col min="17" max="17" width="7.54296875" bestFit="1" customWidth="1"/>
    <col min="18" max="18" width="4.54296875" bestFit="1" customWidth="1"/>
    <col min="19" max="19" width="15" bestFit="1" customWidth="1"/>
    <col min="20" max="20" width="6.54296875" bestFit="1" customWidth="1"/>
    <col min="21" max="21" width="16.453125" bestFit="1" customWidth="1"/>
    <col min="22" max="22" width="6.54296875" bestFit="1" customWidth="1"/>
    <col min="23" max="23" width="15.54296875" bestFit="1" customWidth="1"/>
    <col min="24" max="24" width="6.54296875" bestFit="1" customWidth="1"/>
    <col min="25" max="25" width="10.453125" bestFit="1" customWidth="1"/>
    <col min="26" max="27" width="11.54296875" bestFit="1" customWidth="1"/>
  </cols>
  <sheetData>
    <row r="1" spans="1:2">
      <c r="A1" s="73" t="s">
        <v>23</v>
      </c>
      <c r="B1" t="s">
        <v>595</v>
      </c>
    </row>
    <row r="3" spans="1:2">
      <c r="A3" s="73" t="s">
        <v>596</v>
      </c>
      <c r="B3" t="s">
        <v>597</v>
      </c>
    </row>
    <row r="4" spans="1:2">
      <c r="A4" s="71" t="s">
        <v>37</v>
      </c>
      <c r="B4">
        <v>32</v>
      </c>
    </row>
    <row r="5" spans="1:2">
      <c r="A5" s="121" t="s">
        <v>598</v>
      </c>
      <c r="B5">
        <v>1</v>
      </c>
    </row>
    <row r="6" spans="1:2">
      <c r="A6" s="121" t="s">
        <v>71</v>
      </c>
      <c r="B6">
        <v>4</v>
      </c>
    </row>
    <row r="7" spans="1:2">
      <c r="A7" s="121" t="s">
        <v>599</v>
      </c>
      <c r="B7">
        <v>1</v>
      </c>
    </row>
    <row r="8" spans="1:2">
      <c r="A8" s="121" t="s">
        <v>53</v>
      </c>
      <c r="B8">
        <v>2</v>
      </c>
    </row>
    <row r="9" spans="1:2">
      <c r="A9" s="121" t="s">
        <v>40</v>
      </c>
      <c r="B9">
        <v>10</v>
      </c>
    </row>
    <row r="10" spans="1:2">
      <c r="A10" s="121" t="s">
        <v>74</v>
      </c>
      <c r="B10">
        <v>6</v>
      </c>
    </row>
    <row r="11" spans="1:2">
      <c r="A11" s="121" t="s">
        <v>600</v>
      </c>
      <c r="B11">
        <v>1</v>
      </c>
    </row>
    <row r="12" spans="1:2">
      <c r="A12" s="121" t="s">
        <v>63</v>
      </c>
      <c r="B12">
        <v>1</v>
      </c>
    </row>
    <row r="13" spans="1:2">
      <c r="A13" s="121" t="s">
        <v>601</v>
      </c>
      <c r="B13">
        <v>1</v>
      </c>
    </row>
    <row r="14" spans="1:2">
      <c r="A14" s="121" t="s">
        <v>602</v>
      </c>
      <c r="B14">
        <v>1</v>
      </c>
    </row>
    <row r="15" spans="1:2">
      <c r="A15" s="121" t="s">
        <v>603</v>
      </c>
      <c r="B15">
        <v>1</v>
      </c>
    </row>
    <row r="16" spans="1:2">
      <c r="A16" s="121" t="s">
        <v>604</v>
      </c>
      <c r="B16">
        <v>1</v>
      </c>
    </row>
    <row r="17" spans="1:2">
      <c r="A17" s="121" t="s">
        <v>605</v>
      </c>
      <c r="B17">
        <v>1</v>
      </c>
    </row>
    <row r="18" spans="1:2">
      <c r="A18" s="121" t="s">
        <v>606</v>
      </c>
      <c r="B18">
        <v>1</v>
      </c>
    </row>
    <row r="19" spans="1:2">
      <c r="A19" s="71" t="s">
        <v>607</v>
      </c>
      <c r="B19">
        <v>13</v>
      </c>
    </row>
    <row r="20" spans="1:2">
      <c r="A20" s="121" t="s">
        <v>608</v>
      </c>
      <c r="B20">
        <v>1</v>
      </c>
    </row>
    <row r="21" spans="1:2">
      <c r="A21" s="121" t="s">
        <v>609</v>
      </c>
      <c r="B21">
        <v>1</v>
      </c>
    </row>
    <row r="22" spans="1:2">
      <c r="A22" s="121" t="s">
        <v>610</v>
      </c>
      <c r="B22">
        <v>1</v>
      </c>
    </row>
    <row r="23" spans="1:2">
      <c r="A23" s="121" t="s">
        <v>611</v>
      </c>
      <c r="B23">
        <v>1</v>
      </c>
    </row>
    <row r="24" spans="1:2">
      <c r="A24" s="121" t="s">
        <v>612</v>
      </c>
      <c r="B24">
        <v>1</v>
      </c>
    </row>
    <row r="25" spans="1:2">
      <c r="A25" s="121" t="s">
        <v>613</v>
      </c>
      <c r="B25">
        <v>1</v>
      </c>
    </row>
    <row r="26" spans="1:2">
      <c r="A26" s="121" t="s">
        <v>614</v>
      </c>
      <c r="B26">
        <v>1</v>
      </c>
    </row>
    <row r="27" spans="1:2">
      <c r="A27" s="121" t="s">
        <v>615</v>
      </c>
      <c r="B27">
        <v>1</v>
      </c>
    </row>
    <row r="28" spans="1:2">
      <c r="A28" s="121" t="s">
        <v>616</v>
      </c>
      <c r="B28">
        <v>1</v>
      </c>
    </row>
    <row r="29" spans="1:2">
      <c r="A29" s="121" t="s">
        <v>617</v>
      </c>
      <c r="B29">
        <v>1</v>
      </c>
    </row>
    <row r="30" spans="1:2">
      <c r="A30" s="121" t="s">
        <v>618</v>
      </c>
      <c r="B30">
        <v>1</v>
      </c>
    </row>
    <row r="31" spans="1:2">
      <c r="A31" s="121" t="s">
        <v>619</v>
      </c>
      <c r="B31">
        <v>1</v>
      </c>
    </row>
    <row r="32" spans="1:2">
      <c r="A32" s="121" t="s">
        <v>620</v>
      </c>
      <c r="B32">
        <v>1</v>
      </c>
    </row>
    <row r="33" spans="1:2">
      <c r="A33" s="71" t="s">
        <v>621</v>
      </c>
      <c r="B33">
        <v>15</v>
      </c>
    </row>
    <row r="34" spans="1:2">
      <c r="A34" s="121" t="s">
        <v>622</v>
      </c>
      <c r="B34">
        <v>1</v>
      </c>
    </row>
    <row r="35" spans="1:2">
      <c r="A35" s="121" t="s">
        <v>623</v>
      </c>
      <c r="B35">
        <v>1</v>
      </c>
    </row>
    <row r="36" spans="1:2">
      <c r="A36" s="121" t="s">
        <v>624</v>
      </c>
      <c r="B36">
        <v>1</v>
      </c>
    </row>
    <row r="37" spans="1:2">
      <c r="A37" s="121" t="s">
        <v>625</v>
      </c>
      <c r="B37">
        <v>1</v>
      </c>
    </row>
    <row r="38" spans="1:2">
      <c r="A38" s="121" t="s">
        <v>626</v>
      </c>
      <c r="B38">
        <v>1</v>
      </c>
    </row>
    <row r="39" spans="1:2">
      <c r="A39" s="121" t="s">
        <v>627</v>
      </c>
      <c r="B39">
        <v>1</v>
      </c>
    </row>
    <row r="40" spans="1:2">
      <c r="A40" s="121" t="s">
        <v>599</v>
      </c>
      <c r="B40">
        <v>1</v>
      </c>
    </row>
    <row r="41" spans="1:2">
      <c r="A41" s="121" t="s">
        <v>628</v>
      </c>
      <c r="B41">
        <v>1</v>
      </c>
    </row>
    <row r="42" spans="1:2">
      <c r="A42" s="121" t="s">
        <v>629</v>
      </c>
      <c r="B42">
        <v>1</v>
      </c>
    </row>
    <row r="43" spans="1:2">
      <c r="A43" s="121" t="s">
        <v>600</v>
      </c>
      <c r="B43">
        <v>1</v>
      </c>
    </row>
    <row r="44" spans="1:2">
      <c r="A44" s="121" t="s">
        <v>630</v>
      </c>
      <c r="B44">
        <v>1</v>
      </c>
    </row>
    <row r="45" spans="1:2">
      <c r="A45" s="121" t="s">
        <v>631</v>
      </c>
      <c r="B45">
        <v>1</v>
      </c>
    </row>
    <row r="46" spans="1:2">
      <c r="A46" s="121" t="s">
        <v>632</v>
      </c>
      <c r="B46">
        <v>1</v>
      </c>
    </row>
    <row r="47" spans="1:2">
      <c r="A47" s="121" t="s">
        <v>633</v>
      </c>
      <c r="B47">
        <v>1</v>
      </c>
    </row>
    <row r="48" spans="1:2">
      <c r="A48" s="121" t="s">
        <v>634</v>
      </c>
      <c r="B48">
        <v>1</v>
      </c>
    </row>
    <row r="49" spans="1:2">
      <c r="A49" s="71" t="s">
        <v>578</v>
      </c>
      <c r="B49">
        <v>71</v>
      </c>
    </row>
    <row r="50" spans="1:2">
      <c r="A50" s="121" t="s">
        <v>635</v>
      </c>
      <c r="B50">
        <v>1</v>
      </c>
    </row>
    <row r="51" spans="1:2">
      <c r="A51" s="121" t="s">
        <v>636</v>
      </c>
      <c r="B51">
        <v>1</v>
      </c>
    </row>
    <row r="52" spans="1:2">
      <c r="A52" s="121" t="s">
        <v>637</v>
      </c>
      <c r="B52">
        <v>1</v>
      </c>
    </row>
    <row r="53" spans="1:2">
      <c r="A53" s="121" t="s">
        <v>638</v>
      </c>
      <c r="B53">
        <v>4</v>
      </c>
    </row>
    <row r="54" spans="1:2">
      <c r="A54" s="121" t="s">
        <v>639</v>
      </c>
      <c r="B54">
        <v>1</v>
      </c>
    </row>
    <row r="55" spans="1:2">
      <c r="A55" s="121" t="s">
        <v>640</v>
      </c>
      <c r="B55">
        <v>1</v>
      </c>
    </row>
    <row r="56" spans="1:2">
      <c r="A56" s="121" t="s">
        <v>641</v>
      </c>
      <c r="B56">
        <v>1</v>
      </c>
    </row>
    <row r="57" spans="1:2">
      <c r="A57" s="121" t="s">
        <v>580</v>
      </c>
      <c r="B57">
        <v>1</v>
      </c>
    </row>
    <row r="58" spans="1:2">
      <c r="A58" s="121" t="s">
        <v>642</v>
      </c>
      <c r="B58">
        <v>1</v>
      </c>
    </row>
    <row r="59" spans="1:2">
      <c r="A59" s="121" t="s">
        <v>585</v>
      </c>
      <c r="B59">
        <v>1</v>
      </c>
    </row>
    <row r="60" spans="1:2">
      <c r="A60" s="121" t="s">
        <v>643</v>
      </c>
      <c r="B60">
        <v>1</v>
      </c>
    </row>
    <row r="61" spans="1:2">
      <c r="A61" s="121" t="s">
        <v>644</v>
      </c>
      <c r="B61">
        <v>2</v>
      </c>
    </row>
    <row r="62" spans="1:2">
      <c r="A62" s="121" t="s">
        <v>645</v>
      </c>
      <c r="B62">
        <v>1</v>
      </c>
    </row>
    <row r="63" spans="1:2">
      <c r="A63" s="121" t="s">
        <v>646</v>
      </c>
      <c r="B63">
        <v>1</v>
      </c>
    </row>
    <row r="64" spans="1:2">
      <c r="A64" s="121" t="s">
        <v>647</v>
      </c>
      <c r="B64">
        <v>1</v>
      </c>
    </row>
    <row r="65" spans="1:2">
      <c r="A65" s="121" t="s">
        <v>648</v>
      </c>
      <c r="B65">
        <v>3</v>
      </c>
    </row>
    <row r="66" spans="1:2">
      <c r="A66" s="121" t="s">
        <v>649</v>
      </c>
      <c r="B66">
        <v>1</v>
      </c>
    </row>
    <row r="67" spans="1:2">
      <c r="A67" s="121" t="s">
        <v>650</v>
      </c>
      <c r="B67">
        <v>1</v>
      </c>
    </row>
    <row r="68" spans="1:2">
      <c r="A68" s="121" t="s">
        <v>599</v>
      </c>
      <c r="B68">
        <v>1</v>
      </c>
    </row>
    <row r="69" spans="1:2">
      <c r="A69" s="121" t="s">
        <v>651</v>
      </c>
      <c r="B69">
        <v>1</v>
      </c>
    </row>
    <row r="70" spans="1:2">
      <c r="A70" s="121" t="s">
        <v>652</v>
      </c>
      <c r="B70">
        <v>2</v>
      </c>
    </row>
    <row r="71" spans="1:2">
      <c r="A71" s="121" t="s">
        <v>653</v>
      </c>
      <c r="B71">
        <v>3</v>
      </c>
    </row>
    <row r="72" spans="1:2">
      <c r="A72" s="121" t="s">
        <v>654</v>
      </c>
      <c r="B72">
        <v>2</v>
      </c>
    </row>
    <row r="73" spans="1:2">
      <c r="A73" s="121" t="s">
        <v>655</v>
      </c>
      <c r="B73">
        <v>1</v>
      </c>
    </row>
    <row r="74" spans="1:2">
      <c r="A74" s="121" t="s">
        <v>656</v>
      </c>
      <c r="B74">
        <v>3</v>
      </c>
    </row>
    <row r="75" spans="1:2">
      <c r="A75" s="121" t="s">
        <v>657</v>
      </c>
      <c r="B75">
        <v>1</v>
      </c>
    </row>
    <row r="76" spans="1:2">
      <c r="A76" s="121" t="s">
        <v>658</v>
      </c>
      <c r="B76">
        <v>1</v>
      </c>
    </row>
    <row r="77" spans="1:2">
      <c r="A77" s="121" t="s">
        <v>659</v>
      </c>
      <c r="B77">
        <v>1</v>
      </c>
    </row>
    <row r="78" spans="1:2">
      <c r="A78" s="121" t="s">
        <v>600</v>
      </c>
      <c r="B78">
        <v>1</v>
      </c>
    </row>
    <row r="79" spans="1:2">
      <c r="A79" s="121" t="s">
        <v>660</v>
      </c>
      <c r="B79">
        <v>1</v>
      </c>
    </row>
    <row r="80" spans="1:2">
      <c r="A80" s="121" t="s">
        <v>661</v>
      </c>
      <c r="B80">
        <v>2</v>
      </c>
    </row>
    <row r="81" spans="1:2">
      <c r="A81" s="121" t="s">
        <v>662</v>
      </c>
      <c r="B81">
        <v>2</v>
      </c>
    </row>
    <row r="82" spans="1:2">
      <c r="A82" s="121" t="s">
        <v>663</v>
      </c>
      <c r="B82">
        <v>2</v>
      </c>
    </row>
    <row r="83" spans="1:2">
      <c r="A83" s="121" t="s">
        <v>594</v>
      </c>
      <c r="B83">
        <v>1</v>
      </c>
    </row>
    <row r="84" spans="1:2">
      <c r="A84" s="121" t="s">
        <v>664</v>
      </c>
      <c r="B84">
        <v>10</v>
      </c>
    </row>
    <row r="85" spans="1:2">
      <c r="A85" s="121" t="s">
        <v>665</v>
      </c>
      <c r="B85">
        <v>3</v>
      </c>
    </row>
    <row r="86" spans="1:2">
      <c r="A86" s="121" t="s">
        <v>666</v>
      </c>
      <c r="B86">
        <v>2</v>
      </c>
    </row>
    <row r="87" spans="1:2">
      <c r="A87" s="121" t="s">
        <v>667</v>
      </c>
      <c r="B87">
        <v>2</v>
      </c>
    </row>
    <row r="88" spans="1:2">
      <c r="A88" s="121" t="s">
        <v>668</v>
      </c>
      <c r="B88">
        <v>1</v>
      </c>
    </row>
    <row r="89" spans="1:2">
      <c r="A89" s="121" t="s">
        <v>669</v>
      </c>
      <c r="B89">
        <v>1</v>
      </c>
    </row>
    <row r="90" spans="1:2">
      <c r="A90" s="121" t="s">
        <v>670</v>
      </c>
      <c r="B90">
        <v>1</v>
      </c>
    </row>
    <row r="91" spans="1:2">
      <c r="A91" s="121" t="s">
        <v>671</v>
      </c>
      <c r="B91">
        <v>1</v>
      </c>
    </row>
    <row r="92" spans="1:2">
      <c r="A92" s="121" t="s">
        <v>672</v>
      </c>
      <c r="B92">
        <v>1</v>
      </c>
    </row>
    <row r="93" spans="1:2">
      <c r="A93" s="71" t="s">
        <v>673</v>
      </c>
    </row>
    <row r="94" spans="1:2">
      <c r="A94" s="121" t="s">
        <v>674</v>
      </c>
    </row>
    <row r="95" spans="1:2">
      <c r="A95" s="71" t="s">
        <v>675</v>
      </c>
      <c r="B95">
        <v>131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65C80-7AB8-41C6-BDDF-7DB14179D2C5}">
  <dimension ref="B2:C14"/>
  <sheetViews>
    <sheetView workbookViewId="0">
      <selection activeCell="I14" sqref="I14"/>
    </sheetView>
  </sheetViews>
  <sheetFormatPr baseColWidth="10" defaultColWidth="8.54296875" defaultRowHeight="14.5"/>
  <cols>
    <col min="3" max="3" width="23.54296875" customWidth="1"/>
  </cols>
  <sheetData>
    <row r="2" spans="2:3">
      <c r="B2" s="112" t="s">
        <v>676</v>
      </c>
      <c r="C2" s="111" t="s">
        <v>0</v>
      </c>
    </row>
    <row r="3" spans="2:3">
      <c r="B3" s="114" t="s">
        <v>677</v>
      </c>
      <c r="C3" s="113" t="s">
        <v>678</v>
      </c>
    </row>
    <row r="4" spans="2:3">
      <c r="B4" s="114" t="s">
        <v>679</v>
      </c>
      <c r="C4" s="113" t="s">
        <v>680</v>
      </c>
    </row>
    <row r="5" spans="2:3">
      <c r="B5" s="114" t="s">
        <v>681</v>
      </c>
      <c r="C5" s="113" t="s">
        <v>5</v>
      </c>
    </row>
    <row r="6" spans="2:3">
      <c r="B6" s="114" t="s">
        <v>682</v>
      </c>
      <c r="C6" s="113" t="s">
        <v>6</v>
      </c>
    </row>
    <row r="7" spans="2:3">
      <c r="B7" s="114" t="s">
        <v>683</v>
      </c>
      <c r="C7" s="113" t="s">
        <v>7</v>
      </c>
    </row>
    <row r="8" spans="2:3">
      <c r="B8" s="114" t="s">
        <v>684</v>
      </c>
      <c r="C8" s="113" t="s">
        <v>8</v>
      </c>
    </row>
    <row r="9" spans="2:3">
      <c r="B9" s="114" t="s">
        <v>685</v>
      </c>
      <c r="C9" s="113" t="s">
        <v>9</v>
      </c>
    </row>
    <row r="10" spans="2:3">
      <c r="B10" s="114" t="s">
        <v>686</v>
      </c>
      <c r="C10" s="113" t="s">
        <v>10</v>
      </c>
    </row>
    <row r="11" spans="2:3">
      <c r="B11" s="114" t="s">
        <v>687</v>
      </c>
      <c r="C11" s="113" t="s">
        <v>11</v>
      </c>
    </row>
    <row r="12" spans="2:3">
      <c r="B12" s="114" t="s">
        <v>688</v>
      </c>
      <c r="C12" s="113" t="s">
        <v>12</v>
      </c>
    </row>
    <row r="13" spans="2:3">
      <c r="B13" s="114" t="s">
        <v>689</v>
      </c>
      <c r="C13" s="113" t="s">
        <v>15</v>
      </c>
    </row>
    <row r="14" spans="2:3">
      <c r="B14" s="114" t="s">
        <v>690</v>
      </c>
      <c r="C14" s="113" t="s">
        <v>691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E4515-EFDB-4F54-9B1D-2C38057F5856}">
  <dimension ref="B1:P7"/>
  <sheetViews>
    <sheetView showGridLines="0" zoomScale="90" zoomScaleNormal="90" workbookViewId="0">
      <pane xSplit="4" ySplit="2" topLeftCell="E3" activePane="bottomRight" state="frozen"/>
      <selection pane="topRight" activeCell="O2" sqref="O2"/>
      <selection pane="bottomLeft" activeCell="O2" sqref="O2"/>
      <selection pane="bottomRight" activeCell="B3" sqref="B3"/>
    </sheetView>
  </sheetViews>
  <sheetFormatPr baseColWidth="10" defaultColWidth="11.453125" defaultRowHeight="14.5"/>
  <cols>
    <col min="1" max="1" width="1.453125" customWidth="1"/>
    <col min="2" max="2" width="10" customWidth="1"/>
    <col min="3" max="3" width="6.453125" customWidth="1"/>
    <col min="4" max="4" width="23.453125" style="1" customWidth="1"/>
    <col min="5" max="5" width="18.1796875" style="1" customWidth="1"/>
    <col min="6" max="6" width="24.54296875" style="1" customWidth="1"/>
    <col min="7" max="7" width="28.453125" style="1" bestFit="1" customWidth="1"/>
    <col min="8" max="8" width="18.54296875" style="1" customWidth="1"/>
    <col min="9" max="9" width="12.453125" style="1" customWidth="1"/>
    <col min="10" max="10" width="15.1796875" style="1" customWidth="1"/>
    <col min="11" max="11" width="17.1796875" style="8" customWidth="1"/>
    <col min="12" max="12" width="16.54296875" style="1" customWidth="1"/>
    <col min="13" max="13" width="14.1796875" style="1" customWidth="1"/>
    <col min="14" max="14" width="16.453125" customWidth="1"/>
    <col min="15" max="15" width="20.54296875" style="6" customWidth="1"/>
  </cols>
  <sheetData>
    <row r="1" spans="2:16" ht="9" customHeight="1"/>
    <row r="2" spans="2:16" s="3" customFormat="1" ht="12">
      <c r="B2" s="22" t="s">
        <v>20</v>
      </c>
      <c r="C2" s="22" t="s">
        <v>81</v>
      </c>
      <c r="D2" s="23" t="s">
        <v>22</v>
      </c>
      <c r="E2" s="23" t="s">
        <v>23</v>
      </c>
      <c r="F2" s="23" t="s">
        <v>24</v>
      </c>
      <c r="G2" s="23" t="s">
        <v>25</v>
      </c>
      <c r="H2" s="24" t="s">
        <v>26</v>
      </c>
      <c r="I2" s="24" t="s">
        <v>27</v>
      </c>
      <c r="J2" s="24" t="s">
        <v>28</v>
      </c>
      <c r="K2" s="25" t="s">
        <v>29</v>
      </c>
      <c r="L2" s="26" t="s">
        <v>30</v>
      </c>
      <c r="M2" s="23" t="s">
        <v>31</v>
      </c>
      <c r="N2" s="22" t="s">
        <v>32</v>
      </c>
      <c r="O2" s="23" t="s">
        <v>33</v>
      </c>
      <c r="P2" s="3" t="s">
        <v>34</v>
      </c>
    </row>
    <row r="3" spans="2:16" s="2" customFormat="1" ht="13">
      <c r="B3" s="17" t="s">
        <v>64</v>
      </c>
      <c r="C3" s="17" t="s">
        <v>692</v>
      </c>
      <c r="D3" s="18" t="s">
        <v>10</v>
      </c>
      <c r="E3" s="18" t="s">
        <v>162</v>
      </c>
      <c r="F3" s="18" t="s">
        <v>693</v>
      </c>
      <c r="G3" s="18" t="s">
        <v>694</v>
      </c>
      <c r="H3" s="18" t="s">
        <v>41</v>
      </c>
      <c r="I3" s="18" t="s">
        <v>42</v>
      </c>
      <c r="J3" s="18"/>
      <c r="K3" s="19">
        <v>46174</v>
      </c>
      <c r="L3" s="18" t="s">
        <v>695</v>
      </c>
      <c r="M3" s="18" t="s">
        <v>696</v>
      </c>
      <c r="N3" s="20" t="b">
        <v>1</v>
      </c>
      <c r="O3" s="21" t="s">
        <v>68</v>
      </c>
      <c r="P3" s="2" t="s">
        <v>290</v>
      </c>
    </row>
    <row r="4" spans="2:16">
      <c r="B4" s="17" t="s">
        <v>35</v>
      </c>
      <c r="C4" s="17" t="s">
        <v>697</v>
      </c>
      <c r="D4" s="18" t="s">
        <v>3</v>
      </c>
      <c r="E4" s="18" t="s">
        <v>698</v>
      </c>
      <c r="F4" s="18" t="s">
        <v>699</v>
      </c>
      <c r="G4" s="18" t="s">
        <v>700</v>
      </c>
      <c r="H4" s="18" t="s">
        <v>41</v>
      </c>
      <c r="I4" s="18" t="s">
        <v>42</v>
      </c>
      <c r="J4" s="18"/>
      <c r="K4" s="19">
        <v>46204</v>
      </c>
      <c r="L4" s="18" t="s">
        <v>695</v>
      </c>
      <c r="M4" s="18" t="s">
        <v>186</v>
      </c>
      <c r="N4" s="20" t="b">
        <v>0</v>
      </c>
      <c r="O4" s="21" t="s">
        <v>45</v>
      </c>
      <c r="P4" s="28" t="s">
        <v>290</v>
      </c>
    </row>
    <row r="5" spans="2:16">
      <c r="B5" s="17"/>
      <c r="C5" s="17" t="s">
        <v>701</v>
      </c>
      <c r="D5" s="18" t="s">
        <v>4</v>
      </c>
      <c r="E5" s="18" t="s">
        <v>10</v>
      </c>
      <c r="F5" s="18" t="s">
        <v>702</v>
      </c>
      <c r="G5" s="18" t="s">
        <v>703</v>
      </c>
      <c r="H5" s="18" t="s">
        <v>41</v>
      </c>
      <c r="I5" s="18" t="s">
        <v>59</v>
      </c>
      <c r="J5" s="18"/>
      <c r="K5" s="19">
        <v>46143</v>
      </c>
      <c r="L5" s="18" t="s">
        <v>695</v>
      </c>
      <c r="M5" s="18" t="s">
        <v>102</v>
      </c>
      <c r="N5" s="20" t="b">
        <v>1</v>
      </c>
      <c r="O5" s="21" t="s">
        <v>68</v>
      </c>
      <c r="P5" s="28" t="s">
        <v>290</v>
      </c>
    </row>
    <row r="6" spans="2:16">
      <c r="B6" s="17"/>
      <c r="C6" s="17" t="s">
        <v>704</v>
      </c>
      <c r="D6" s="18" t="s">
        <v>7</v>
      </c>
      <c r="E6" s="18" t="s">
        <v>6</v>
      </c>
      <c r="F6" s="18" t="s">
        <v>705</v>
      </c>
      <c r="G6" s="18" t="s">
        <v>706</v>
      </c>
      <c r="H6" s="18" t="s">
        <v>267</v>
      </c>
      <c r="I6" s="18" t="s">
        <v>59</v>
      </c>
      <c r="J6" s="18"/>
      <c r="K6" s="19">
        <v>46143</v>
      </c>
      <c r="L6" s="18" t="s">
        <v>695</v>
      </c>
      <c r="M6" s="18" t="s">
        <v>44</v>
      </c>
      <c r="N6" s="20" t="b">
        <v>0</v>
      </c>
      <c r="O6" s="21" t="s">
        <v>45</v>
      </c>
      <c r="P6" s="28" t="s">
        <v>290</v>
      </c>
    </row>
    <row r="7" spans="2:16">
      <c r="B7" s="17"/>
      <c r="C7" s="17" t="s">
        <v>240</v>
      </c>
      <c r="D7" s="18" t="s">
        <v>707</v>
      </c>
      <c r="E7" s="18" t="s">
        <v>6</v>
      </c>
      <c r="F7" s="18" t="s">
        <v>708</v>
      </c>
      <c r="G7" s="18" t="s">
        <v>709</v>
      </c>
      <c r="H7" s="18" t="s">
        <v>267</v>
      </c>
      <c r="I7" s="18" t="s">
        <v>238</v>
      </c>
      <c r="J7" s="18"/>
      <c r="K7" s="19">
        <v>46113</v>
      </c>
      <c r="L7" s="18" t="s">
        <v>695</v>
      </c>
      <c r="M7" s="18" t="s">
        <v>44</v>
      </c>
      <c r="N7" s="20" t="b">
        <v>1</v>
      </c>
      <c r="O7" s="21" t="s">
        <v>75</v>
      </c>
      <c r="P7" s="28" t="s">
        <v>290</v>
      </c>
    </row>
  </sheetData>
  <pageMargins left="0.7" right="0.7" top="0.75" bottom="0.75" header="0.3" footer="0.3"/>
  <legacyDrawing r:id="rId1"/>
  <tableParts count="1">
    <tablePart r:id="rId2"/>
  </tableParts>
  <extLst>
    <ext xmlns:x14="http://schemas.microsoft.com/office/spreadsheetml/2009/9/main" uri="{CCE6A557-97BC-4b89-ADB6-D9C93CAAB3DF}">
      <x14:dataValidations xmlns:xm="http://schemas.microsoft.com/office/excel/2006/main" count="3">
        <x14:dataValidation type="list" allowBlank="1" showInputMessage="1" showErrorMessage="1" xr:uid="{F8580557-1F93-4291-9451-FB04D363389B}">
          <x14:formula1>
            <xm:f>Catálogo!$B$3:$B$8</xm:f>
          </x14:formula1>
          <xm:sqref>H3:H7</xm:sqref>
        </x14:dataValidation>
        <x14:dataValidation type="list" allowBlank="1" showInputMessage="1" showErrorMessage="1" xr:uid="{3B37FFE6-1A85-4375-B74F-0925FF9304BA}">
          <x14:formula1>
            <xm:f>Catálogo!$C$3:$C$5</xm:f>
          </x14:formula1>
          <xm:sqref>I3:J7</xm:sqref>
        </x14:dataValidation>
        <x14:dataValidation type="list" allowBlank="1" showInputMessage="1" showErrorMessage="1" xr:uid="{D90A4CC0-1F87-4AB3-9673-33F72A656F2A}">
          <x14:formula1>
            <xm:f>Catálogo!$D$3:$D$6</xm:f>
          </x14:formula1>
          <xm:sqref>O3:O7</xm:sqref>
        </x14:dataValidation>
      </x14:dataValidations>
    </ext>
  </extLs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03C52-5CC9-4E78-88C4-73BA1DE8B7E1}">
  <dimension ref="A1:U151"/>
  <sheetViews>
    <sheetView showGridLines="0" zoomScale="107" zoomScaleNormal="85" workbookViewId="0">
      <pane xSplit="6" topLeftCell="G1" activePane="topRight" state="frozen"/>
      <selection activeCell="B3" sqref="B3"/>
      <selection pane="topRight" activeCell="F139" sqref="F139"/>
    </sheetView>
  </sheetViews>
  <sheetFormatPr baseColWidth="10" defaultColWidth="11.453125" defaultRowHeight="15" customHeight="1"/>
  <cols>
    <col min="1" max="1" width="1.81640625" customWidth="1"/>
    <col min="2" max="2" width="5.1796875" style="71" customWidth="1"/>
    <col min="3" max="3" width="14.81640625" customWidth="1"/>
    <col min="4" max="4" width="10.26953125" customWidth="1"/>
    <col min="5" max="5" width="10.54296875" customWidth="1"/>
    <col min="6" max="6" width="7" style="1" customWidth="1"/>
    <col min="7" max="7" width="13.7265625" style="1" customWidth="1"/>
    <col min="8" max="8" width="30.453125" style="1" customWidth="1"/>
    <col min="9" max="9" width="43.7265625" style="71" customWidth="1"/>
    <col min="10" max="10" width="17.453125" style="1" bestFit="1" customWidth="1"/>
    <col min="11" max="13" width="12.453125" style="1" customWidth="1"/>
    <col min="14" max="14" width="17.1796875" style="8" customWidth="1"/>
    <col min="15" max="15" width="15.54296875" style="1" hidden="1" customWidth="1"/>
    <col min="16" max="16" width="14.1796875" style="1" customWidth="1"/>
    <col min="17" max="17" width="14.1796875" style="29" customWidth="1"/>
    <col min="18" max="18" width="20.54296875" style="6" customWidth="1"/>
    <col min="19" max="19" width="18.453125" style="71" customWidth="1"/>
    <col min="20" max="20" width="11.453125" style="71" bestFit="1" customWidth="1"/>
  </cols>
  <sheetData>
    <row r="1" spans="2:21" ht="3.65" customHeight="1"/>
    <row r="2" spans="2:21" ht="9" hidden="1" customHeight="1">
      <c r="T2"/>
    </row>
    <row r="3" spans="2:21" s="161" customFormat="1" ht="29.25" customHeight="1">
      <c r="B3" s="190" t="s">
        <v>80</v>
      </c>
      <c r="C3" s="154" t="s">
        <v>710</v>
      </c>
      <c r="D3" s="240" t="s">
        <v>20</v>
      </c>
      <c r="E3" s="155" t="s">
        <v>711</v>
      </c>
      <c r="F3" s="156" t="s">
        <v>22</v>
      </c>
      <c r="G3" s="155" t="s">
        <v>23</v>
      </c>
      <c r="H3" s="155" t="s">
        <v>24</v>
      </c>
      <c r="I3" s="160" t="s">
        <v>25</v>
      </c>
      <c r="J3" s="156" t="s">
        <v>26</v>
      </c>
      <c r="K3" s="156" t="s">
        <v>27</v>
      </c>
      <c r="L3" s="156" t="s">
        <v>28</v>
      </c>
      <c r="M3" s="156" t="s">
        <v>82</v>
      </c>
      <c r="N3" s="157" t="s">
        <v>29</v>
      </c>
      <c r="O3" s="158" t="s">
        <v>30</v>
      </c>
      <c r="P3" s="155" t="s">
        <v>31</v>
      </c>
      <c r="Q3" s="159" t="s">
        <v>32</v>
      </c>
      <c r="R3" s="155" t="s">
        <v>33</v>
      </c>
      <c r="S3" s="160" t="s">
        <v>34</v>
      </c>
      <c r="T3" s="255" t="s">
        <v>83</v>
      </c>
      <c r="U3" s="171" t="s">
        <v>84</v>
      </c>
    </row>
    <row r="4" spans="2:21" s="2" customFormat="1" ht="26.15" hidden="1" customHeight="1">
      <c r="B4" s="31">
        <v>1</v>
      </c>
      <c r="C4" s="69" t="s">
        <v>7</v>
      </c>
      <c r="D4" s="91" t="s">
        <v>64</v>
      </c>
      <c r="E4" s="110" t="s">
        <v>712</v>
      </c>
      <c r="F4" s="83" t="s">
        <v>621</v>
      </c>
      <c r="G4" s="84" t="s">
        <v>713</v>
      </c>
      <c r="H4" s="84" t="s">
        <v>714</v>
      </c>
      <c r="I4" s="84" t="s">
        <v>630</v>
      </c>
      <c r="J4" s="84" t="s">
        <v>41</v>
      </c>
      <c r="K4" s="84" t="s">
        <v>42</v>
      </c>
      <c r="L4" s="32">
        <v>46111</v>
      </c>
      <c r="M4" s="32"/>
      <c r="N4" s="86">
        <v>46111</v>
      </c>
      <c r="O4" s="87"/>
      <c r="P4" s="84" t="s">
        <v>715</v>
      </c>
      <c r="Q4" s="88" t="b">
        <v>1</v>
      </c>
      <c r="R4" s="89" t="s">
        <v>179</v>
      </c>
      <c r="S4" s="84" t="s">
        <v>46</v>
      </c>
      <c r="U4" s="2" t="str">
        <f>IF(TablaAsistidos[[#This Row],[Fecha requerida]]="","N",IF(TablaAsistidos[[#This Row],[Fecha requerida]]&lt;=DATE(2026,4,30),"S","N"))</f>
        <v>S</v>
      </c>
    </row>
    <row r="5" spans="2:21" ht="26.5" hidden="1" customHeight="1">
      <c r="B5" s="31">
        <v>2</v>
      </c>
      <c r="C5" s="69" t="s">
        <v>7</v>
      </c>
      <c r="D5" s="35" t="s">
        <v>64</v>
      </c>
      <c r="E5" s="70" t="s">
        <v>716</v>
      </c>
      <c r="F5" s="64" t="s">
        <v>578</v>
      </c>
      <c r="G5" s="31" t="s">
        <v>12</v>
      </c>
      <c r="H5" s="31" t="s">
        <v>717</v>
      </c>
      <c r="I5" s="31" t="s">
        <v>599</v>
      </c>
      <c r="J5" s="31" t="s">
        <v>41</v>
      </c>
      <c r="K5" s="31" t="s">
        <v>59</v>
      </c>
      <c r="L5" s="32">
        <v>46127</v>
      </c>
      <c r="M5" s="32"/>
      <c r="N5" s="32"/>
      <c r="O5" s="31"/>
      <c r="P5" s="31" t="s">
        <v>44</v>
      </c>
      <c r="Q5" s="58" t="b">
        <v>1</v>
      </c>
      <c r="R5" s="33" t="s">
        <v>103</v>
      </c>
      <c r="S5" s="31" t="s">
        <v>46</v>
      </c>
      <c r="T5" s="2"/>
      <c r="U5" s="2" t="str">
        <f>IF(TablaAsistidos[[#This Row],[Fecha requerida]]="","N",IF(TablaAsistidos[[#This Row],[Fecha requerida]]&lt;=DATE(2026,4,30),"S","N"))</f>
        <v>S</v>
      </c>
    </row>
    <row r="6" spans="2:21" ht="26.5" customHeight="1">
      <c r="B6" s="31">
        <v>3</v>
      </c>
      <c r="C6" s="69" t="s">
        <v>7</v>
      </c>
      <c r="D6" s="35" t="s">
        <v>64</v>
      </c>
      <c r="E6" s="70" t="s">
        <v>716</v>
      </c>
      <c r="F6" s="64" t="s">
        <v>578</v>
      </c>
      <c r="G6" s="31" t="s">
        <v>12</v>
      </c>
      <c r="H6" s="31" t="s">
        <v>718</v>
      </c>
      <c r="I6" s="31" t="s">
        <v>600</v>
      </c>
      <c r="J6" s="31" t="s">
        <v>41</v>
      </c>
      <c r="K6" s="31" t="s">
        <v>59</v>
      </c>
      <c r="L6" s="32">
        <v>46112</v>
      </c>
      <c r="M6" s="32"/>
      <c r="N6" s="32"/>
      <c r="O6" s="31"/>
      <c r="P6" s="31" t="s">
        <v>44</v>
      </c>
      <c r="Q6" s="58" t="b">
        <v>1</v>
      </c>
      <c r="R6" s="33" t="s">
        <v>103</v>
      </c>
      <c r="S6" s="31" t="s">
        <v>46</v>
      </c>
      <c r="T6" s="13"/>
      <c r="U6" s="2" t="str">
        <f>IF(TablaAsistidos[[#This Row],[Fecha requerida]]="","N",IF(TablaAsistidos[[#This Row],[Fecha requerida]]&lt;=DATE(2026,4,30),"S","N"))</f>
        <v>S</v>
      </c>
    </row>
    <row r="7" spans="2:21" ht="26.5" hidden="1" customHeight="1">
      <c r="B7" s="31">
        <v>4</v>
      </c>
      <c r="C7" s="69" t="s">
        <v>7</v>
      </c>
      <c r="D7" s="35" t="s">
        <v>64</v>
      </c>
      <c r="E7" s="70" t="s">
        <v>719</v>
      </c>
      <c r="F7" s="64" t="s">
        <v>578</v>
      </c>
      <c r="G7" s="31" t="s">
        <v>578</v>
      </c>
      <c r="H7" s="31" t="s">
        <v>720</v>
      </c>
      <c r="I7" s="31" t="s">
        <v>662</v>
      </c>
      <c r="J7" s="31" t="s">
        <v>41</v>
      </c>
      <c r="K7" s="31" t="s">
        <v>59</v>
      </c>
      <c r="L7" s="32">
        <v>46241</v>
      </c>
      <c r="M7" s="32"/>
      <c r="N7" s="32"/>
      <c r="O7" s="31"/>
      <c r="P7" s="31" t="s">
        <v>44</v>
      </c>
      <c r="Q7" s="58" t="b">
        <v>1</v>
      </c>
      <c r="R7" s="33" t="s">
        <v>103</v>
      </c>
      <c r="S7" s="31" t="s">
        <v>46</v>
      </c>
      <c r="T7" s="2"/>
      <c r="U7" s="2" t="str">
        <f>IF(TablaAsistidos[[#This Row],[Fecha requerida]]="","N",IF(TablaAsistidos[[#This Row],[Fecha requerida]]&lt;=DATE(2026,4,30),"S","N"))</f>
        <v>N</v>
      </c>
    </row>
    <row r="8" spans="2:21" ht="26.5" hidden="1" customHeight="1">
      <c r="B8" s="31">
        <v>5</v>
      </c>
      <c r="C8" s="69" t="s">
        <v>7</v>
      </c>
      <c r="D8" s="35" t="s">
        <v>64</v>
      </c>
      <c r="E8" s="70" t="s">
        <v>721</v>
      </c>
      <c r="F8" s="64" t="s">
        <v>578</v>
      </c>
      <c r="G8" s="31" t="s">
        <v>38</v>
      </c>
      <c r="H8" s="31" t="s">
        <v>637</v>
      </c>
      <c r="I8" s="31" t="s">
        <v>637</v>
      </c>
      <c r="J8" s="31" t="s">
        <v>41</v>
      </c>
      <c r="K8" s="31" t="s">
        <v>59</v>
      </c>
      <c r="L8" s="32">
        <v>46234</v>
      </c>
      <c r="M8" s="32"/>
      <c r="N8" s="32"/>
      <c r="O8" s="31"/>
      <c r="P8" s="31" t="s">
        <v>44</v>
      </c>
      <c r="Q8" s="58" t="b">
        <v>1</v>
      </c>
      <c r="R8" s="33" t="s">
        <v>103</v>
      </c>
      <c r="S8" s="31" t="s">
        <v>46</v>
      </c>
      <c r="T8" s="2"/>
      <c r="U8" s="2" t="str">
        <f>IF(TablaAsistidos[[#This Row],[Fecha requerida]]="","N",IF(TablaAsistidos[[#This Row],[Fecha requerida]]&lt;=DATE(2026,4,30),"S","N"))</f>
        <v>N</v>
      </c>
    </row>
    <row r="9" spans="2:21" ht="26.5" hidden="1" customHeight="1">
      <c r="B9" s="31">
        <v>6</v>
      </c>
      <c r="C9" s="69" t="s">
        <v>7</v>
      </c>
      <c r="D9" s="35" t="s">
        <v>64</v>
      </c>
      <c r="E9" s="70" t="s">
        <v>722</v>
      </c>
      <c r="F9" s="64" t="s">
        <v>578</v>
      </c>
      <c r="G9" s="31" t="s">
        <v>37</v>
      </c>
      <c r="H9" s="31" t="s">
        <v>483</v>
      </c>
      <c r="I9" s="31" t="s">
        <v>662</v>
      </c>
      <c r="J9" s="31" t="s">
        <v>41</v>
      </c>
      <c r="K9" s="31" t="s">
        <v>59</v>
      </c>
      <c r="L9" s="32">
        <v>46136</v>
      </c>
      <c r="M9" s="32"/>
      <c r="N9" s="32"/>
      <c r="O9" s="31"/>
      <c r="P9" s="31" t="s">
        <v>44</v>
      </c>
      <c r="Q9" s="58" t="b">
        <v>1</v>
      </c>
      <c r="R9" s="33" t="s">
        <v>103</v>
      </c>
      <c r="S9" s="31" t="s">
        <v>46</v>
      </c>
      <c r="T9" s="2"/>
      <c r="U9" s="2" t="str">
        <f>IF(TablaAsistidos[[#This Row],[Fecha requerida]]="","N",IF(TablaAsistidos[[#This Row],[Fecha requerida]]&lt;=DATE(2026,4,30),"S","N"))</f>
        <v>S</v>
      </c>
    </row>
    <row r="10" spans="2:21" ht="26.5" hidden="1" customHeight="1">
      <c r="B10" s="31">
        <v>7</v>
      </c>
      <c r="C10" s="69" t="s">
        <v>7</v>
      </c>
      <c r="D10" s="35" t="s">
        <v>64</v>
      </c>
      <c r="E10" s="70" t="s">
        <v>723</v>
      </c>
      <c r="F10" s="64" t="s">
        <v>607</v>
      </c>
      <c r="G10" s="31" t="s">
        <v>15</v>
      </c>
      <c r="H10" s="31" t="s">
        <v>614</v>
      </c>
      <c r="I10" s="31" t="s">
        <v>614</v>
      </c>
      <c r="J10" s="31" t="s">
        <v>41</v>
      </c>
      <c r="K10" s="31" t="s">
        <v>238</v>
      </c>
      <c r="L10" s="32">
        <v>46188</v>
      </c>
      <c r="M10" s="32"/>
      <c r="N10" s="32" t="s">
        <v>43</v>
      </c>
      <c r="O10" s="31"/>
      <c r="P10" s="31" t="s">
        <v>715</v>
      </c>
      <c r="Q10" s="58" t="b">
        <v>1</v>
      </c>
      <c r="R10" s="33" t="s">
        <v>103</v>
      </c>
      <c r="S10" s="31" t="s">
        <v>46</v>
      </c>
      <c r="T10" s="2"/>
      <c r="U10" s="2" t="str">
        <f>IF(TablaAsistidos[[#This Row],[Fecha requerida]]="","N",IF(TablaAsistidos[[#This Row],[Fecha requerida]]&lt;=DATE(2026,4,30),"S","N"))</f>
        <v>N</v>
      </c>
    </row>
    <row r="11" spans="2:21" ht="39.65" hidden="1" customHeight="1">
      <c r="B11" s="31">
        <v>8</v>
      </c>
      <c r="C11" s="69" t="s">
        <v>7</v>
      </c>
      <c r="D11" s="128" t="s">
        <v>35</v>
      </c>
      <c r="E11" s="130" t="s">
        <v>724</v>
      </c>
      <c r="F11" s="131" t="s">
        <v>37</v>
      </c>
      <c r="G11" s="132" t="s">
        <v>5</v>
      </c>
      <c r="H11" s="132" t="s">
        <v>62</v>
      </c>
      <c r="I11" s="132" t="s">
        <v>601</v>
      </c>
      <c r="J11" s="132" t="s">
        <v>41</v>
      </c>
      <c r="K11" s="132" t="s">
        <v>42</v>
      </c>
      <c r="L11" s="133">
        <v>46185</v>
      </c>
      <c r="M11" s="133"/>
      <c r="N11" s="133" t="s">
        <v>43</v>
      </c>
      <c r="O11" s="135"/>
      <c r="P11" s="132" t="s">
        <v>44</v>
      </c>
      <c r="Q11" s="58" t="b">
        <v>1</v>
      </c>
      <c r="R11" s="134" t="s">
        <v>91</v>
      </c>
      <c r="S11" s="132" t="s">
        <v>46</v>
      </c>
      <c r="T11" s="2"/>
      <c r="U11" s="2" t="str">
        <f>IF(TablaAsistidos[[#This Row],[Fecha requerida]]="","N",IF(TablaAsistidos[[#This Row],[Fecha requerida]]&lt;=DATE(2026,4,30),"S","N"))</f>
        <v>N</v>
      </c>
    </row>
    <row r="12" spans="2:21" ht="41.5" hidden="1" customHeight="1">
      <c r="B12" s="31">
        <v>9</v>
      </c>
      <c r="C12" s="136" t="s">
        <v>7</v>
      </c>
      <c r="D12" s="30" t="s">
        <v>35</v>
      </c>
      <c r="E12" s="70" t="s">
        <v>725</v>
      </c>
      <c r="F12" s="64" t="s">
        <v>621</v>
      </c>
      <c r="G12" s="31" t="s">
        <v>5</v>
      </c>
      <c r="H12" s="31" t="s">
        <v>62</v>
      </c>
      <c r="I12" s="31" t="s">
        <v>634</v>
      </c>
      <c r="J12" s="31" t="s">
        <v>267</v>
      </c>
      <c r="K12" s="31" t="s">
        <v>59</v>
      </c>
      <c r="L12" s="32">
        <v>46199</v>
      </c>
      <c r="M12" s="32"/>
      <c r="N12" s="32"/>
      <c r="O12" s="31"/>
      <c r="P12" s="31" t="s">
        <v>726</v>
      </c>
      <c r="Q12" s="58" t="b">
        <v>1</v>
      </c>
      <c r="R12" s="33" t="s">
        <v>103</v>
      </c>
      <c r="S12" s="31" t="s">
        <v>46</v>
      </c>
      <c r="T12" s="2"/>
      <c r="U12" s="2" t="str">
        <f>IF(TablaAsistidos[[#This Row],[Fecha requerida]]="","N",IF(TablaAsistidos[[#This Row],[Fecha requerida]]&lt;=DATE(2026,4,30),"S","N"))</f>
        <v>N</v>
      </c>
    </row>
    <row r="13" spans="2:21" ht="14.5" hidden="1" customHeight="1">
      <c r="B13" s="31">
        <v>10</v>
      </c>
      <c r="C13" s="69" t="s">
        <v>7</v>
      </c>
      <c r="D13" s="35" t="s">
        <v>35</v>
      </c>
      <c r="E13" s="70" t="s">
        <v>727</v>
      </c>
      <c r="F13" s="64" t="s">
        <v>607</v>
      </c>
      <c r="G13" s="31" t="s">
        <v>583</v>
      </c>
      <c r="H13" s="31" t="s">
        <v>728</v>
      </c>
      <c r="I13" s="31" t="s">
        <v>618</v>
      </c>
      <c r="J13" s="31" t="s">
        <v>267</v>
      </c>
      <c r="K13" s="31" t="s">
        <v>238</v>
      </c>
      <c r="L13" s="32">
        <v>46129</v>
      </c>
      <c r="M13" s="32"/>
      <c r="N13" s="151" t="s">
        <v>43</v>
      </c>
      <c r="O13" s="31"/>
      <c r="P13" s="31" t="s">
        <v>729</v>
      </c>
      <c r="Q13" s="58" t="b">
        <v>1</v>
      </c>
      <c r="R13" s="33" t="s">
        <v>103</v>
      </c>
      <c r="S13" s="31" t="s">
        <v>46</v>
      </c>
      <c r="T13" s="2"/>
      <c r="U13" s="2" t="str">
        <f>IF(TablaAsistidos[[#This Row],[Fecha requerida]]="","N",IF(TablaAsistidos[[#This Row],[Fecha requerida]]&lt;=DATE(2026,4,30),"S","N"))</f>
        <v>S</v>
      </c>
    </row>
    <row r="14" spans="2:21" ht="14.5" hidden="1" customHeight="1">
      <c r="B14" s="31">
        <v>11</v>
      </c>
      <c r="C14" s="69" t="s">
        <v>7</v>
      </c>
      <c r="D14" s="35" t="s">
        <v>35</v>
      </c>
      <c r="E14" s="70" t="s">
        <v>730</v>
      </c>
      <c r="F14" s="64" t="s">
        <v>607</v>
      </c>
      <c r="G14" s="31" t="s">
        <v>583</v>
      </c>
      <c r="H14" s="31" t="s">
        <v>731</v>
      </c>
      <c r="I14" s="31" t="s">
        <v>617</v>
      </c>
      <c r="J14" s="31" t="s">
        <v>267</v>
      </c>
      <c r="K14" s="31" t="s">
        <v>238</v>
      </c>
      <c r="L14" s="32">
        <v>46188</v>
      </c>
      <c r="M14" s="32"/>
      <c r="N14" s="151" t="s">
        <v>43</v>
      </c>
      <c r="O14" s="31"/>
      <c r="P14" s="31" t="s">
        <v>729</v>
      </c>
      <c r="Q14" s="58" t="b">
        <v>1</v>
      </c>
      <c r="R14" s="33" t="s">
        <v>103</v>
      </c>
      <c r="S14" s="31" t="s">
        <v>46</v>
      </c>
      <c r="T14" s="2"/>
      <c r="U14" s="2" t="str">
        <f>IF(TablaAsistidos[[#This Row],[Fecha requerida]]="","N",IF(TablaAsistidos[[#This Row],[Fecha requerida]]&lt;=DATE(2026,4,30),"S","N"))</f>
        <v>N</v>
      </c>
    </row>
    <row r="15" spans="2:21" ht="14.5" hidden="1" customHeight="1">
      <c r="B15" s="31">
        <v>12</v>
      </c>
      <c r="C15" s="69" t="s">
        <v>7</v>
      </c>
      <c r="D15" s="35" t="s">
        <v>35</v>
      </c>
      <c r="E15" s="70" t="s">
        <v>732</v>
      </c>
      <c r="F15" s="64" t="s">
        <v>607</v>
      </c>
      <c r="G15" s="31" t="s">
        <v>583</v>
      </c>
      <c r="H15" s="31" t="s">
        <v>733</v>
      </c>
      <c r="I15" s="31" t="s">
        <v>609</v>
      </c>
      <c r="J15" s="31" t="s">
        <v>267</v>
      </c>
      <c r="K15" s="31" t="s">
        <v>59</v>
      </c>
      <c r="L15" s="32">
        <v>46188</v>
      </c>
      <c r="M15" s="32"/>
      <c r="N15" s="151" t="s">
        <v>43</v>
      </c>
      <c r="O15" s="31"/>
      <c r="P15" s="31" t="s">
        <v>729</v>
      </c>
      <c r="Q15" s="58" t="b">
        <v>1</v>
      </c>
      <c r="R15" s="33" t="s">
        <v>103</v>
      </c>
      <c r="S15" s="31" t="s">
        <v>46</v>
      </c>
      <c r="T15" s="2"/>
      <c r="U15" s="2" t="str">
        <f>IF(TablaAsistidos[[#This Row],[Fecha requerida]]="","N",IF(TablaAsistidos[[#This Row],[Fecha requerida]]&lt;=DATE(2026,4,30),"S","N"))</f>
        <v>N</v>
      </c>
    </row>
    <row r="16" spans="2:21" ht="14.5" hidden="1" customHeight="1">
      <c r="B16" s="31">
        <v>13</v>
      </c>
      <c r="C16" s="69" t="s">
        <v>7</v>
      </c>
      <c r="D16" s="35" t="s">
        <v>35</v>
      </c>
      <c r="E16" s="70" t="s">
        <v>734</v>
      </c>
      <c r="F16" s="64" t="s">
        <v>607</v>
      </c>
      <c r="G16" s="31" t="s">
        <v>316</v>
      </c>
      <c r="H16" s="31" t="s">
        <v>735</v>
      </c>
      <c r="I16" s="31" t="s">
        <v>619</v>
      </c>
      <c r="J16" s="31" t="s">
        <v>41</v>
      </c>
      <c r="K16" s="31" t="s">
        <v>42</v>
      </c>
      <c r="L16" s="32">
        <v>46188</v>
      </c>
      <c r="M16" s="32"/>
      <c r="N16" s="151" t="s">
        <v>43</v>
      </c>
      <c r="O16" s="31"/>
      <c r="P16" s="31" t="s">
        <v>173</v>
      </c>
      <c r="Q16" s="58" t="b">
        <v>1</v>
      </c>
      <c r="R16" s="134" t="s">
        <v>91</v>
      </c>
      <c r="S16" s="31" t="s">
        <v>46</v>
      </c>
      <c r="T16" s="2"/>
      <c r="U16" s="2" t="str">
        <f>IF(TablaAsistidos[[#This Row],[Fecha requerida]]="","N",IF(TablaAsistidos[[#This Row],[Fecha requerida]]&lt;=DATE(2026,4,30),"S","N"))</f>
        <v>N</v>
      </c>
    </row>
    <row r="17" spans="2:21" ht="39" hidden="1" customHeight="1">
      <c r="B17" s="31">
        <v>14</v>
      </c>
      <c r="C17" s="69" t="s">
        <v>7</v>
      </c>
      <c r="D17" s="35" t="s">
        <v>35</v>
      </c>
      <c r="E17" s="70" t="s">
        <v>736</v>
      </c>
      <c r="F17" s="64" t="s">
        <v>607</v>
      </c>
      <c r="G17" s="31" t="s">
        <v>583</v>
      </c>
      <c r="H17" s="31" t="s">
        <v>737</v>
      </c>
      <c r="I17" s="31" t="s">
        <v>620</v>
      </c>
      <c r="J17" s="31" t="s">
        <v>267</v>
      </c>
      <c r="K17" s="31" t="s">
        <v>59</v>
      </c>
      <c r="L17" s="32">
        <v>46129</v>
      </c>
      <c r="M17" s="32"/>
      <c r="N17" s="151" t="s">
        <v>43</v>
      </c>
      <c r="O17" s="31"/>
      <c r="P17" s="31" t="s">
        <v>729</v>
      </c>
      <c r="Q17" s="58" t="b">
        <v>1</v>
      </c>
      <c r="R17" s="33" t="s">
        <v>103</v>
      </c>
      <c r="S17" s="31" t="s">
        <v>46</v>
      </c>
      <c r="T17" s="2"/>
      <c r="U17" s="2" t="str">
        <f>IF(TablaAsistidos[[#This Row],[Fecha requerida]]="","N",IF(TablaAsistidos[[#This Row],[Fecha requerida]]&lt;=DATE(2026,4,30),"S","N"))</f>
        <v>S</v>
      </c>
    </row>
    <row r="18" spans="2:21" ht="26.5" hidden="1" customHeight="1">
      <c r="B18" s="31">
        <v>15</v>
      </c>
      <c r="C18" s="69" t="s">
        <v>7</v>
      </c>
      <c r="D18" s="35" t="s">
        <v>35</v>
      </c>
      <c r="E18" s="70" t="s">
        <v>738</v>
      </c>
      <c r="F18" s="64" t="s">
        <v>607</v>
      </c>
      <c r="G18" s="31" t="s">
        <v>583</v>
      </c>
      <c r="H18" s="31" t="s">
        <v>739</v>
      </c>
      <c r="I18" s="31" t="s">
        <v>608</v>
      </c>
      <c r="J18" s="31" t="s">
        <v>267</v>
      </c>
      <c r="K18" s="31" t="s">
        <v>59</v>
      </c>
      <c r="L18" s="153">
        <v>46104</v>
      </c>
      <c r="M18" s="151"/>
      <c r="N18" s="32">
        <v>46104</v>
      </c>
      <c r="O18" s="31"/>
      <c r="P18" s="31" t="s">
        <v>729</v>
      </c>
      <c r="Q18" s="58" t="b">
        <v>1</v>
      </c>
      <c r="R18" s="89" t="s">
        <v>179</v>
      </c>
      <c r="S18" s="31" t="s">
        <v>46</v>
      </c>
      <c r="T18" s="2"/>
      <c r="U18" s="2" t="str">
        <f>IF(TablaAsistidos[[#This Row],[Fecha requerida]]="","N",IF(TablaAsistidos[[#This Row],[Fecha requerida]]&lt;=DATE(2026,4,30),"S","N"))</f>
        <v>S</v>
      </c>
    </row>
    <row r="19" spans="2:21" ht="26.5" hidden="1" customHeight="1">
      <c r="B19" s="31">
        <v>16</v>
      </c>
      <c r="C19" s="69" t="s">
        <v>7</v>
      </c>
      <c r="D19" s="35" t="s">
        <v>35</v>
      </c>
      <c r="E19" s="70" t="s">
        <v>738</v>
      </c>
      <c r="F19" s="64" t="s">
        <v>607</v>
      </c>
      <c r="G19" s="31" t="s">
        <v>583</v>
      </c>
      <c r="H19" s="31" t="s">
        <v>740</v>
      </c>
      <c r="I19" s="31" t="s">
        <v>611</v>
      </c>
      <c r="J19" s="31" t="s">
        <v>267</v>
      </c>
      <c r="K19" s="31" t="s">
        <v>59</v>
      </c>
      <c r="L19" s="32">
        <v>46108</v>
      </c>
      <c r="M19" s="32">
        <v>46122</v>
      </c>
      <c r="N19" s="151" t="s">
        <v>43</v>
      </c>
      <c r="O19" s="31"/>
      <c r="P19" s="31" t="s">
        <v>729</v>
      </c>
      <c r="Q19" s="58" t="b">
        <v>1</v>
      </c>
      <c r="R19" s="33" t="s">
        <v>179</v>
      </c>
      <c r="S19" s="31" t="s">
        <v>46</v>
      </c>
      <c r="T19" s="2" t="s">
        <v>741</v>
      </c>
      <c r="U19" s="2" t="str">
        <f>IF(TablaAsistidos[[#This Row],[Fecha requerida]]="","N",IF(TablaAsistidos[[#This Row],[Fecha requerida]]&lt;=DATE(2026,4,30),"S","N"))</f>
        <v>S</v>
      </c>
    </row>
    <row r="20" spans="2:21" ht="39.5" hidden="1">
      <c r="B20" s="31">
        <v>17</v>
      </c>
      <c r="C20" s="69" t="s">
        <v>7</v>
      </c>
      <c r="D20" s="35" t="s">
        <v>35</v>
      </c>
      <c r="E20" s="70" t="s">
        <v>742</v>
      </c>
      <c r="F20" s="64" t="s">
        <v>607</v>
      </c>
      <c r="G20" s="31" t="s">
        <v>583</v>
      </c>
      <c r="H20" s="31" t="s">
        <v>743</v>
      </c>
      <c r="I20" s="31" t="s">
        <v>610</v>
      </c>
      <c r="J20" s="31" t="s">
        <v>267</v>
      </c>
      <c r="K20" s="31" t="s">
        <v>42</v>
      </c>
      <c r="L20" s="32">
        <v>46108</v>
      </c>
      <c r="M20" s="32">
        <v>46122</v>
      </c>
      <c r="N20" s="151" t="s">
        <v>744</v>
      </c>
      <c r="O20" s="31"/>
      <c r="P20" s="31" t="s">
        <v>729</v>
      </c>
      <c r="Q20" s="58" t="b">
        <v>1</v>
      </c>
      <c r="R20" s="33" t="s">
        <v>169</v>
      </c>
      <c r="S20" s="31" t="s">
        <v>46</v>
      </c>
      <c r="T20" s="2"/>
      <c r="U20" s="2" t="str">
        <f>IF(TablaAsistidos[[#This Row],[Fecha requerida]]="","N",IF(TablaAsistidos[[#This Row],[Fecha requerida]]&lt;=DATE(2026,4,30),"S","N"))</f>
        <v>S</v>
      </c>
    </row>
    <row r="21" spans="2:21" ht="39.5" hidden="1">
      <c r="B21" s="31">
        <v>18</v>
      </c>
      <c r="C21" s="69" t="s">
        <v>7</v>
      </c>
      <c r="D21" s="35" t="s">
        <v>35</v>
      </c>
      <c r="E21" s="70" t="s">
        <v>742</v>
      </c>
      <c r="F21" s="64" t="s">
        <v>607</v>
      </c>
      <c r="G21" s="31" t="s">
        <v>583</v>
      </c>
      <c r="H21" s="31" t="s">
        <v>745</v>
      </c>
      <c r="I21" s="31" t="s">
        <v>613</v>
      </c>
      <c r="J21" s="31" t="s">
        <v>267</v>
      </c>
      <c r="K21" s="31" t="s">
        <v>42</v>
      </c>
      <c r="L21" s="32">
        <v>46108</v>
      </c>
      <c r="M21" s="32">
        <v>46122</v>
      </c>
      <c r="N21" s="151" t="s">
        <v>744</v>
      </c>
      <c r="O21" s="31"/>
      <c r="P21" s="31" t="s">
        <v>729</v>
      </c>
      <c r="Q21" s="58" t="b">
        <v>1</v>
      </c>
      <c r="R21" s="33" t="s">
        <v>91</v>
      </c>
      <c r="S21" s="31" t="s">
        <v>46</v>
      </c>
      <c r="T21" s="2"/>
      <c r="U21" s="2" t="str">
        <f>IF(TablaAsistidos[[#This Row],[Fecha requerida]]="","N",IF(TablaAsistidos[[#This Row],[Fecha requerida]]&lt;=DATE(2026,4,30),"S","N"))</f>
        <v>S</v>
      </c>
    </row>
    <row r="22" spans="2:21" ht="39.65" hidden="1" customHeight="1">
      <c r="B22" s="31">
        <v>19</v>
      </c>
      <c r="C22" s="69" t="s">
        <v>7</v>
      </c>
      <c r="D22" s="35" t="s">
        <v>35</v>
      </c>
      <c r="E22" s="70" t="s">
        <v>746</v>
      </c>
      <c r="F22" s="64" t="s">
        <v>607</v>
      </c>
      <c r="G22" s="31" t="s">
        <v>38</v>
      </c>
      <c r="H22" s="31" t="s">
        <v>747</v>
      </c>
      <c r="I22" s="31" t="s">
        <v>615</v>
      </c>
      <c r="J22" s="31" t="s">
        <v>41</v>
      </c>
      <c r="K22" s="31" t="s">
        <v>42</v>
      </c>
      <c r="L22" s="32">
        <v>46188</v>
      </c>
      <c r="M22" s="32"/>
      <c r="N22" s="151" t="s">
        <v>43</v>
      </c>
      <c r="O22" s="31"/>
      <c r="P22" s="31" t="s">
        <v>532</v>
      </c>
      <c r="Q22" s="58" t="b">
        <v>1</v>
      </c>
      <c r="R22" s="33" t="s">
        <v>103</v>
      </c>
      <c r="S22" s="31" t="s">
        <v>46</v>
      </c>
      <c r="T22" s="2"/>
      <c r="U22" s="2" t="str">
        <f>IF(TablaAsistidos[[#This Row],[Fecha requerida]]="","N",IF(TablaAsistidos[[#This Row],[Fecha requerida]]&lt;=DATE(2026,4,30),"S","N"))</f>
        <v>N</v>
      </c>
    </row>
    <row r="23" spans="2:21" ht="39.65" hidden="1" customHeight="1">
      <c r="B23" s="31">
        <v>20</v>
      </c>
      <c r="C23" s="69" t="s">
        <v>7</v>
      </c>
      <c r="D23" s="35" t="s">
        <v>35</v>
      </c>
      <c r="E23" s="70" t="s">
        <v>746</v>
      </c>
      <c r="F23" s="64" t="s">
        <v>607</v>
      </c>
      <c r="G23" s="31" t="s">
        <v>15</v>
      </c>
      <c r="H23" s="31" t="s">
        <v>748</v>
      </c>
      <c r="I23" s="31" t="s">
        <v>616</v>
      </c>
      <c r="J23" s="31" t="s">
        <v>41</v>
      </c>
      <c r="K23" s="31" t="s">
        <v>238</v>
      </c>
      <c r="L23" s="32">
        <v>46220</v>
      </c>
      <c r="M23" s="32"/>
      <c r="N23" s="151" t="s">
        <v>43</v>
      </c>
      <c r="O23" s="31"/>
      <c r="P23" s="31" t="s">
        <v>729</v>
      </c>
      <c r="Q23" s="58" t="b">
        <v>1</v>
      </c>
      <c r="R23" s="33" t="s">
        <v>103</v>
      </c>
      <c r="S23" s="31" t="s">
        <v>46</v>
      </c>
      <c r="T23" s="2"/>
      <c r="U23" s="2" t="str">
        <f>IF(TablaAsistidos[[#This Row],[Fecha requerida]]="","N",IF(TablaAsistidos[[#This Row],[Fecha requerida]]&lt;=DATE(2026,4,30),"S","N"))</f>
        <v>N</v>
      </c>
    </row>
    <row r="24" spans="2:21" ht="39.65" hidden="1" customHeight="1">
      <c r="B24" s="31">
        <v>21</v>
      </c>
      <c r="C24" s="69" t="s">
        <v>7</v>
      </c>
      <c r="D24" s="35" t="s">
        <v>35</v>
      </c>
      <c r="E24" s="70" t="s">
        <v>749</v>
      </c>
      <c r="F24" s="64" t="s">
        <v>607</v>
      </c>
      <c r="G24" s="31" t="s">
        <v>583</v>
      </c>
      <c r="H24" s="31" t="s">
        <v>750</v>
      </c>
      <c r="I24" s="31" t="s">
        <v>612</v>
      </c>
      <c r="J24" s="31" t="s">
        <v>267</v>
      </c>
      <c r="K24" s="31" t="s">
        <v>59</v>
      </c>
      <c r="L24" s="32">
        <v>46122</v>
      </c>
      <c r="M24" s="32"/>
      <c r="N24" s="151" t="s">
        <v>43</v>
      </c>
      <c r="O24" s="31"/>
      <c r="P24" s="31" t="s">
        <v>729</v>
      </c>
      <c r="Q24" s="58" t="b">
        <v>1</v>
      </c>
      <c r="R24" s="33" t="s">
        <v>103</v>
      </c>
      <c r="S24" s="31" t="s">
        <v>46</v>
      </c>
      <c r="T24" s="2"/>
      <c r="U24" s="2" t="str">
        <f>IF(TablaAsistidos[[#This Row],[Fecha requerida]]="","N",IF(TablaAsistidos[[#This Row],[Fecha requerida]]&lt;=DATE(2026,4,30),"S","N"))</f>
        <v>S</v>
      </c>
    </row>
    <row r="25" spans="2:21" ht="21" hidden="1" customHeight="1">
      <c r="B25" s="31">
        <v>22</v>
      </c>
      <c r="C25" s="69" t="s">
        <v>7</v>
      </c>
      <c r="D25" s="35" t="s">
        <v>35</v>
      </c>
      <c r="E25" s="70" t="s">
        <v>751</v>
      </c>
      <c r="F25" s="64" t="s">
        <v>578</v>
      </c>
      <c r="G25" s="31" t="s">
        <v>5</v>
      </c>
      <c r="H25" s="31" t="s">
        <v>752</v>
      </c>
      <c r="I25" s="31" t="s">
        <v>664</v>
      </c>
      <c r="J25" s="31" t="s">
        <v>267</v>
      </c>
      <c r="K25" s="31" t="s">
        <v>59</v>
      </c>
      <c r="L25" s="32">
        <v>46136</v>
      </c>
      <c r="M25" s="32"/>
      <c r="N25" s="32"/>
      <c r="O25" s="31"/>
      <c r="P25" s="31" t="s">
        <v>44</v>
      </c>
      <c r="Q25" s="58" t="b">
        <v>1</v>
      </c>
      <c r="R25" s="33" t="s">
        <v>103</v>
      </c>
      <c r="S25" s="31" t="s">
        <v>46</v>
      </c>
      <c r="T25" s="2"/>
      <c r="U25" s="2" t="str">
        <f>IF(TablaAsistidos[[#This Row],[Fecha requerida]]="","N",IF(TablaAsistidos[[#This Row],[Fecha requerida]]&lt;=DATE(2026,4,30),"S","N"))</f>
        <v>S</v>
      </c>
    </row>
    <row r="26" spans="2:21" ht="39.65" hidden="1" customHeight="1">
      <c r="B26" s="31">
        <v>23</v>
      </c>
      <c r="C26" s="69" t="s">
        <v>7</v>
      </c>
      <c r="D26" s="35" t="s">
        <v>35</v>
      </c>
      <c r="E26" s="70" t="s">
        <v>751</v>
      </c>
      <c r="F26" s="64" t="s">
        <v>578</v>
      </c>
      <c r="G26" s="31" t="s">
        <v>38</v>
      </c>
      <c r="H26" s="31" t="s">
        <v>752</v>
      </c>
      <c r="I26" s="31" t="s">
        <v>664</v>
      </c>
      <c r="J26" s="31" t="s">
        <v>267</v>
      </c>
      <c r="K26" s="31" t="s">
        <v>59</v>
      </c>
      <c r="L26" s="32">
        <v>46136</v>
      </c>
      <c r="M26" s="32"/>
      <c r="N26" s="32"/>
      <c r="O26" s="31"/>
      <c r="P26" s="31" t="s">
        <v>44</v>
      </c>
      <c r="Q26" s="58" t="b">
        <v>1</v>
      </c>
      <c r="R26" s="33" t="s">
        <v>103</v>
      </c>
      <c r="S26" s="31" t="s">
        <v>46</v>
      </c>
      <c r="T26" s="2"/>
      <c r="U26" s="2" t="str">
        <f>IF(TablaAsistidos[[#This Row],[Fecha requerida]]="","N",IF(TablaAsistidos[[#This Row],[Fecha requerida]]&lt;=DATE(2026,4,30),"S","N"))</f>
        <v>S</v>
      </c>
    </row>
    <row r="27" spans="2:21" ht="39.65" hidden="1" customHeight="1">
      <c r="B27" s="31">
        <v>24</v>
      </c>
      <c r="C27" s="69" t="s">
        <v>7</v>
      </c>
      <c r="D27" s="35" t="s">
        <v>35</v>
      </c>
      <c r="E27" s="70" t="s">
        <v>753</v>
      </c>
      <c r="F27" s="64" t="s">
        <v>578</v>
      </c>
      <c r="G27" s="31" t="s">
        <v>38</v>
      </c>
      <c r="H27" s="31" t="s">
        <v>754</v>
      </c>
      <c r="I27" s="31" t="s">
        <v>665</v>
      </c>
      <c r="J27" s="31" t="s">
        <v>267</v>
      </c>
      <c r="K27" s="31" t="s">
        <v>59</v>
      </c>
      <c r="L27" s="32">
        <v>46136</v>
      </c>
      <c r="M27" s="32"/>
      <c r="N27" s="32"/>
      <c r="O27" s="31"/>
      <c r="P27" s="31" t="s">
        <v>44</v>
      </c>
      <c r="Q27" s="58" t="b">
        <v>1</v>
      </c>
      <c r="R27" s="33" t="s">
        <v>103</v>
      </c>
      <c r="S27" s="31" t="s">
        <v>46</v>
      </c>
      <c r="T27" s="2"/>
      <c r="U27" s="2" t="str">
        <f>IF(TablaAsistidos[[#This Row],[Fecha requerida]]="","N",IF(TablaAsistidos[[#This Row],[Fecha requerida]]&lt;=DATE(2026,4,30),"S","N"))</f>
        <v>S</v>
      </c>
    </row>
    <row r="28" spans="2:21" ht="39.65" hidden="1" customHeight="1">
      <c r="B28" s="31">
        <v>25</v>
      </c>
      <c r="C28" s="69" t="s">
        <v>7</v>
      </c>
      <c r="D28" s="35" t="s">
        <v>35</v>
      </c>
      <c r="E28" s="70" t="s">
        <v>755</v>
      </c>
      <c r="F28" s="64" t="s">
        <v>578</v>
      </c>
      <c r="G28" s="31" t="s">
        <v>38</v>
      </c>
      <c r="H28" s="31" t="s">
        <v>756</v>
      </c>
      <c r="I28" s="31" t="s">
        <v>653</v>
      </c>
      <c r="J28" s="31" t="s">
        <v>41</v>
      </c>
      <c r="K28" s="31" t="s">
        <v>59</v>
      </c>
      <c r="L28" s="32">
        <v>46112</v>
      </c>
      <c r="M28" s="32">
        <v>46207</v>
      </c>
      <c r="N28" s="32"/>
      <c r="O28" s="31"/>
      <c r="P28" s="31" t="s">
        <v>44</v>
      </c>
      <c r="Q28" s="58" t="b">
        <v>1</v>
      </c>
      <c r="R28" s="89" t="s">
        <v>179</v>
      </c>
      <c r="S28" s="31" t="s">
        <v>46</v>
      </c>
      <c r="T28" s="2"/>
      <c r="U28" s="2" t="str">
        <f>IF(TablaAsistidos[[#This Row],[Fecha requerida]]="","N",IF(TablaAsistidos[[#This Row],[Fecha requerida]]&lt;=DATE(2026,4,30),"S","N"))</f>
        <v>S</v>
      </c>
    </row>
    <row r="29" spans="2:21" ht="39.65" hidden="1" customHeight="1">
      <c r="B29" s="31">
        <v>26</v>
      </c>
      <c r="C29" s="69" t="s">
        <v>7</v>
      </c>
      <c r="D29" s="35" t="s">
        <v>35</v>
      </c>
      <c r="E29" s="70" t="s">
        <v>755</v>
      </c>
      <c r="F29" s="64" t="s">
        <v>578</v>
      </c>
      <c r="G29" s="31" t="s">
        <v>38</v>
      </c>
      <c r="H29" s="31" t="s">
        <v>757</v>
      </c>
      <c r="I29" s="31" t="s">
        <v>648</v>
      </c>
      <c r="J29" s="31" t="s">
        <v>41</v>
      </c>
      <c r="K29" s="31" t="s">
        <v>59</v>
      </c>
      <c r="L29" s="32">
        <v>46108</v>
      </c>
      <c r="M29" s="32"/>
      <c r="N29" s="32"/>
      <c r="O29" s="31"/>
      <c r="P29" s="31" t="s">
        <v>44</v>
      </c>
      <c r="Q29" s="58" t="b">
        <v>1</v>
      </c>
      <c r="R29" s="89" t="s">
        <v>179</v>
      </c>
      <c r="S29" s="31" t="s">
        <v>46</v>
      </c>
      <c r="T29" s="2"/>
      <c r="U29" s="2" t="str">
        <f>IF(TablaAsistidos[[#This Row],[Fecha requerida]]="","N",IF(TablaAsistidos[[#This Row],[Fecha requerida]]&lt;=DATE(2026,4,30),"S","N"))</f>
        <v>S</v>
      </c>
    </row>
    <row r="30" spans="2:21" ht="39.65" hidden="1" customHeight="1">
      <c r="B30" s="31">
        <v>27</v>
      </c>
      <c r="C30" s="69" t="s">
        <v>7</v>
      </c>
      <c r="D30" s="35" t="s">
        <v>35</v>
      </c>
      <c r="E30" s="70" t="s">
        <v>755</v>
      </c>
      <c r="F30" s="64" t="s">
        <v>578</v>
      </c>
      <c r="G30" s="31" t="s">
        <v>38</v>
      </c>
      <c r="H30" s="31" t="s">
        <v>758</v>
      </c>
      <c r="I30" s="31" t="s">
        <v>656</v>
      </c>
      <c r="J30" s="31" t="s">
        <v>41</v>
      </c>
      <c r="K30" s="31" t="s">
        <v>59</v>
      </c>
      <c r="L30" s="32">
        <v>46122</v>
      </c>
      <c r="M30" s="32"/>
      <c r="N30" s="32"/>
      <c r="O30" s="31"/>
      <c r="P30" s="31" t="s">
        <v>44</v>
      </c>
      <c r="Q30" s="58" t="b">
        <v>1</v>
      </c>
      <c r="R30" s="33" t="s">
        <v>103</v>
      </c>
      <c r="S30" s="31" t="s">
        <v>46</v>
      </c>
      <c r="T30" s="2"/>
      <c r="U30" s="2" t="str">
        <f>IF(TablaAsistidos[[#This Row],[Fecha requerida]]="","N",IF(TablaAsistidos[[#This Row],[Fecha requerida]]&lt;=DATE(2026,4,30),"S","N"))</f>
        <v>S</v>
      </c>
    </row>
    <row r="31" spans="2:21" ht="41.5" hidden="1" customHeight="1">
      <c r="B31" s="31">
        <v>28</v>
      </c>
      <c r="C31" s="69" t="s">
        <v>7</v>
      </c>
      <c r="D31" s="35" t="s">
        <v>35</v>
      </c>
      <c r="E31" s="70" t="s">
        <v>759</v>
      </c>
      <c r="F31" s="64" t="s">
        <v>578</v>
      </c>
      <c r="G31" s="31" t="s">
        <v>38</v>
      </c>
      <c r="H31" s="31" t="s">
        <v>752</v>
      </c>
      <c r="I31" s="31" t="s">
        <v>664</v>
      </c>
      <c r="J31" s="31" t="s">
        <v>267</v>
      </c>
      <c r="K31" s="31" t="s">
        <v>59</v>
      </c>
      <c r="L31" s="32">
        <v>46136</v>
      </c>
      <c r="M31" s="32"/>
      <c r="N31" s="32"/>
      <c r="O31" s="31"/>
      <c r="P31" s="31" t="s">
        <v>44</v>
      </c>
      <c r="Q31" s="58" t="b">
        <v>1</v>
      </c>
      <c r="R31" s="33" t="s">
        <v>103</v>
      </c>
      <c r="S31" s="31" t="s">
        <v>46</v>
      </c>
      <c r="T31" s="2"/>
      <c r="U31" s="2" t="str">
        <f>IF(TablaAsistidos[[#This Row],[Fecha requerida]]="","N",IF(TablaAsistidos[[#This Row],[Fecha requerida]]&lt;=DATE(2026,4,30),"S","N"))</f>
        <v>S</v>
      </c>
    </row>
    <row r="32" spans="2:21" ht="14.5" hidden="1" customHeight="1">
      <c r="B32" s="31">
        <v>29</v>
      </c>
      <c r="C32" s="69" t="s">
        <v>7</v>
      </c>
      <c r="D32" s="35" t="s">
        <v>35</v>
      </c>
      <c r="E32" s="70" t="s">
        <v>759</v>
      </c>
      <c r="F32" s="64" t="s">
        <v>578</v>
      </c>
      <c r="G32" s="31" t="s">
        <v>5</v>
      </c>
      <c r="H32" s="31" t="s">
        <v>752</v>
      </c>
      <c r="I32" s="31" t="s">
        <v>664</v>
      </c>
      <c r="J32" s="31" t="s">
        <v>267</v>
      </c>
      <c r="K32" s="31" t="s">
        <v>59</v>
      </c>
      <c r="L32" s="32">
        <v>46136</v>
      </c>
      <c r="M32" s="32"/>
      <c r="N32" s="32"/>
      <c r="O32" s="31"/>
      <c r="P32" s="31" t="s">
        <v>44</v>
      </c>
      <c r="Q32" s="58" t="b">
        <v>1</v>
      </c>
      <c r="R32" s="33" t="s">
        <v>103</v>
      </c>
      <c r="S32" s="31" t="s">
        <v>46</v>
      </c>
      <c r="T32" s="2"/>
      <c r="U32" s="2" t="str">
        <f>IF(TablaAsistidos[[#This Row],[Fecha requerida]]="","N",IF(TablaAsistidos[[#This Row],[Fecha requerida]]&lt;=DATE(2026,4,30),"S","N"))</f>
        <v>S</v>
      </c>
    </row>
    <row r="33" spans="2:21" ht="41.5" hidden="1" customHeight="1">
      <c r="B33" s="31">
        <v>30</v>
      </c>
      <c r="C33" s="69" t="s">
        <v>7</v>
      </c>
      <c r="D33" s="35" t="s">
        <v>35</v>
      </c>
      <c r="E33" s="70" t="s">
        <v>760</v>
      </c>
      <c r="F33" s="64" t="s">
        <v>578</v>
      </c>
      <c r="G33" s="31" t="s">
        <v>5</v>
      </c>
      <c r="H33" s="31" t="s">
        <v>761</v>
      </c>
      <c r="I33" s="31" t="s">
        <v>666</v>
      </c>
      <c r="J33" s="31" t="s">
        <v>267</v>
      </c>
      <c r="K33" s="31" t="s">
        <v>59</v>
      </c>
      <c r="L33" s="32">
        <v>46136</v>
      </c>
      <c r="M33" s="32"/>
      <c r="N33" s="32"/>
      <c r="O33" s="31"/>
      <c r="P33" s="31" t="s">
        <v>44</v>
      </c>
      <c r="Q33" s="58" t="b">
        <v>1</v>
      </c>
      <c r="R33" s="33" t="s">
        <v>103</v>
      </c>
      <c r="S33" s="31" t="s">
        <v>46</v>
      </c>
      <c r="T33" s="2"/>
      <c r="U33" s="2" t="str">
        <f>IF(TablaAsistidos[[#This Row],[Fecha requerida]]="","N",IF(TablaAsistidos[[#This Row],[Fecha requerida]]&lt;=DATE(2026,4,30),"S","N"))</f>
        <v>S</v>
      </c>
    </row>
    <row r="34" spans="2:21" ht="41.5" hidden="1" customHeight="1">
      <c r="B34" s="31">
        <v>31</v>
      </c>
      <c r="C34" s="69" t="s">
        <v>7</v>
      </c>
      <c r="D34" s="35" t="s">
        <v>35</v>
      </c>
      <c r="E34" s="70" t="s">
        <v>762</v>
      </c>
      <c r="F34" s="64" t="s">
        <v>578</v>
      </c>
      <c r="G34" s="31" t="s">
        <v>38</v>
      </c>
      <c r="H34" s="31" t="s">
        <v>754</v>
      </c>
      <c r="I34" s="31" t="s">
        <v>665</v>
      </c>
      <c r="J34" s="31" t="s">
        <v>267</v>
      </c>
      <c r="K34" s="31" t="s">
        <v>59</v>
      </c>
      <c r="L34" s="32">
        <v>46136</v>
      </c>
      <c r="M34" s="32"/>
      <c r="N34" s="32"/>
      <c r="O34" s="31"/>
      <c r="P34" s="31" t="s">
        <v>44</v>
      </c>
      <c r="Q34" s="58" t="b">
        <v>1</v>
      </c>
      <c r="R34" s="33" t="s">
        <v>103</v>
      </c>
      <c r="S34" s="31" t="s">
        <v>46</v>
      </c>
      <c r="T34" s="2"/>
      <c r="U34" s="2" t="str">
        <f>IF(TablaAsistidos[[#This Row],[Fecha requerida]]="","N",IF(TablaAsistidos[[#This Row],[Fecha requerida]]&lt;=DATE(2026,4,30),"S","N"))</f>
        <v>S</v>
      </c>
    </row>
    <row r="35" spans="2:21" ht="26.5" hidden="1" customHeight="1">
      <c r="B35" s="31">
        <v>32</v>
      </c>
      <c r="C35" s="69" t="s">
        <v>7</v>
      </c>
      <c r="D35" s="35" t="s">
        <v>35</v>
      </c>
      <c r="E35" s="70" t="s">
        <v>763</v>
      </c>
      <c r="F35" s="64" t="s">
        <v>578</v>
      </c>
      <c r="G35" s="31" t="s">
        <v>38</v>
      </c>
      <c r="H35" s="31" t="s">
        <v>756</v>
      </c>
      <c r="I35" s="31" t="s">
        <v>653</v>
      </c>
      <c r="J35" s="31" t="s">
        <v>41</v>
      </c>
      <c r="K35" s="31" t="s">
        <v>59</v>
      </c>
      <c r="L35" s="32">
        <v>46112</v>
      </c>
      <c r="M35" s="32">
        <v>46207</v>
      </c>
      <c r="N35" s="32"/>
      <c r="O35" s="31"/>
      <c r="P35" s="31" t="s">
        <v>44</v>
      </c>
      <c r="Q35" s="58" t="b">
        <v>1</v>
      </c>
      <c r="R35" s="89" t="s">
        <v>179</v>
      </c>
      <c r="S35" s="31" t="s">
        <v>46</v>
      </c>
      <c r="T35" s="2"/>
      <c r="U35" s="2" t="str">
        <f>IF(TablaAsistidos[[#This Row],[Fecha requerida]]="","N",IF(TablaAsistidos[[#This Row],[Fecha requerida]]&lt;=DATE(2026,4,30),"S","N"))</f>
        <v>S</v>
      </c>
    </row>
    <row r="36" spans="2:21" ht="14.5" hidden="1" customHeight="1">
      <c r="B36" s="31">
        <v>33</v>
      </c>
      <c r="C36" s="69" t="s">
        <v>7</v>
      </c>
      <c r="D36" s="35" t="s">
        <v>35</v>
      </c>
      <c r="E36" s="70" t="s">
        <v>763</v>
      </c>
      <c r="F36" s="64" t="s">
        <v>578</v>
      </c>
      <c r="G36" s="31" t="s">
        <v>38</v>
      </c>
      <c r="H36" s="31" t="s">
        <v>757</v>
      </c>
      <c r="I36" s="31" t="s">
        <v>648</v>
      </c>
      <c r="J36" s="31" t="s">
        <v>41</v>
      </c>
      <c r="K36" s="31" t="s">
        <v>59</v>
      </c>
      <c r="L36" s="32">
        <v>46108</v>
      </c>
      <c r="M36" s="32"/>
      <c r="N36" s="32"/>
      <c r="O36" s="31"/>
      <c r="P36" s="31" t="s">
        <v>44</v>
      </c>
      <c r="Q36" s="58" t="b">
        <v>1</v>
      </c>
      <c r="R36" s="89" t="s">
        <v>179</v>
      </c>
      <c r="S36" s="31" t="s">
        <v>46</v>
      </c>
      <c r="T36" s="2"/>
      <c r="U36" s="2" t="str">
        <f>IF(TablaAsistidos[[#This Row],[Fecha requerida]]="","N",IF(TablaAsistidos[[#This Row],[Fecha requerida]]&lt;=DATE(2026,4,30),"S","N"))</f>
        <v>S</v>
      </c>
    </row>
    <row r="37" spans="2:21" ht="41.5" hidden="1" customHeight="1">
      <c r="B37" s="31">
        <v>34</v>
      </c>
      <c r="C37" s="69" t="s">
        <v>7</v>
      </c>
      <c r="D37" s="35" t="s">
        <v>35</v>
      </c>
      <c r="E37" s="70" t="s">
        <v>763</v>
      </c>
      <c r="F37" s="64" t="s">
        <v>578</v>
      </c>
      <c r="G37" s="31" t="s">
        <v>38</v>
      </c>
      <c r="H37" s="31" t="s">
        <v>758</v>
      </c>
      <c r="I37" s="31" t="s">
        <v>656</v>
      </c>
      <c r="J37" s="31" t="s">
        <v>41</v>
      </c>
      <c r="K37" s="31" t="s">
        <v>59</v>
      </c>
      <c r="L37" s="32">
        <v>46122</v>
      </c>
      <c r="M37" s="32"/>
      <c r="N37" s="32"/>
      <c r="O37" s="31"/>
      <c r="P37" s="31" t="s">
        <v>44</v>
      </c>
      <c r="Q37" s="58" t="b">
        <v>1</v>
      </c>
      <c r="R37" s="33" t="s">
        <v>103</v>
      </c>
      <c r="S37" s="31" t="s">
        <v>46</v>
      </c>
      <c r="T37" s="2"/>
      <c r="U37" s="2" t="str">
        <f>IF(TablaAsistidos[[#This Row],[Fecha requerida]]="","N",IF(TablaAsistidos[[#This Row],[Fecha requerida]]&lt;=DATE(2026,4,30),"S","N"))</f>
        <v>S</v>
      </c>
    </row>
    <row r="38" spans="2:21" ht="41.5" hidden="1" customHeight="1">
      <c r="B38" s="31">
        <v>35</v>
      </c>
      <c r="C38" s="69" t="s">
        <v>7</v>
      </c>
      <c r="D38" s="35" t="s">
        <v>35</v>
      </c>
      <c r="E38" s="70" t="s">
        <v>764</v>
      </c>
      <c r="F38" s="64" t="s">
        <v>621</v>
      </c>
      <c r="G38" s="31" t="s">
        <v>583</v>
      </c>
      <c r="H38" s="31" t="s">
        <v>765</v>
      </c>
      <c r="I38" s="31" t="s">
        <v>625</v>
      </c>
      <c r="J38" s="31" t="s">
        <v>267</v>
      </c>
      <c r="K38" s="31" t="s">
        <v>59</v>
      </c>
      <c r="L38" s="32">
        <v>46174</v>
      </c>
      <c r="M38" s="32"/>
      <c r="N38" s="32"/>
      <c r="O38" s="31"/>
      <c r="P38" s="31" t="s">
        <v>44</v>
      </c>
      <c r="Q38" s="58" t="b">
        <v>1</v>
      </c>
      <c r="R38" s="33" t="s">
        <v>103</v>
      </c>
      <c r="S38" s="31" t="s">
        <v>46</v>
      </c>
      <c r="T38" s="2"/>
      <c r="U38" s="2" t="str">
        <f>IF(TablaAsistidos[[#This Row],[Fecha requerida]]="","N",IF(TablaAsistidos[[#This Row],[Fecha requerida]]&lt;=DATE(2026,4,30),"S","N"))</f>
        <v>N</v>
      </c>
    </row>
    <row r="39" spans="2:21" ht="41.5" hidden="1" customHeight="1">
      <c r="B39" s="31">
        <v>36</v>
      </c>
      <c r="C39" s="69" t="s">
        <v>7</v>
      </c>
      <c r="D39" s="35" t="s">
        <v>35</v>
      </c>
      <c r="E39" s="70" t="s">
        <v>766</v>
      </c>
      <c r="F39" s="64" t="s">
        <v>621</v>
      </c>
      <c r="G39" s="31" t="s">
        <v>583</v>
      </c>
      <c r="H39" s="31" t="s">
        <v>767</v>
      </c>
      <c r="I39" s="31" t="s">
        <v>623</v>
      </c>
      <c r="J39" s="31" t="s">
        <v>267</v>
      </c>
      <c r="K39" s="31" t="s">
        <v>59</v>
      </c>
      <c r="L39" s="32">
        <v>46174</v>
      </c>
      <c r="M39" s="32"/>
      <c r="N39" s="32"/>
      <c r="O39" s="31"/>
      <c r="P39" s="31" t="s">
        <v>44</v>
      </c>
      <c r="Q39" s="58" t="b">
        <v>1</v>
      </c>
      <c r="R39" s="33" t="s">
        <v>103</v>
      </c>
      <c r="S39" s="31" t="s">
        <v>46</v>
      </c>
      <c r="T39" s="2"/>
      <c r="U39" s="2" t="str">
        <f>IF(TablaAsistidos[[#This Row],[Fecha requerida]]="","N",IF(TablaAsistidos[[#This Row],[Fecha requerida]]&lt;=DATE(2026,4,30),"S","N"))</f>
        <v>N</v>
      </c>
    </row>
    <row r="40" spans="2:21" ht="41.5" hidden="1" customHeight="1">
      <c r="B40" s="31">
        <v>37</v>
      </c>
      <c r="C40" s="69" t="s">
        <v>7</v>
      </c>
      <c r="D40" s="35" t="s">
        <v>35</v>
      </c>
      <c r="E40" s="70" t="s">
        <v>768</v>
      </c>
      <c r="F40" s="64" t="s">
        <v>621</v>
      </c>
      <c r="G40" s="31" t="s">
        <v>583</v>
      </c>
      <c r="H40" s="31" t="s">
        <v>584</v>
      </c>
      <c r="I40" s="31" t="s">
        <v>627</v>
      </c>
      <c r="J40" s="31" t="s">
        <v>267</v>
      </c>
      <c r="K40" s="31" t="s">
        <v>59</v>
      </c>
      <c r="L40" s="32">
        <v>46174</v>
      </c>
      <c r="M40" s="32"/>
      <c r="N40" s="32"/>
      <c r="O40" s="31"/>
      <c r="P40" s="31" t="s">
        <v>44</v>
      </c>
      <c r="Q40" s="58" t="b">
        <v>1</v>
      </c>
      <c r="R40" s="33" t="s">
        <v>103</v>
      </c>
      <c r="S40" s="31" t="s">
        <v>46</v>
      </c>
      <c r="T40" s="2"/>
      <c r="U40" s="2" t="str">
        <f>IF(TablaAsistidos[[#This Row],[Fecha requerida]]="","N",IF(TablaAsistidos[[#This Row],[Fecha requerida]]&lt;=DATE(2026,4,30),"S","N"))</f>
        <v>N</v>
      </c>
    </row>
    <row r="41" spans="2:21" ht="41.5" hidden="1" customHeight="1">
      <c r="B41" s="31">
        <v>38</v>
      </c>
      <c r="C41" s="69" t="s">
        <v>7</v>
      </c>
      <c r="D41" s="35" t="s">
        <v>35</v>
      </c>
      <c r="E41" s="70" t="s">
        <v>769</v>
      </c>
      <c r="F41" s="64" t="s">
        <v>621</v>
      </c>
      <c r="G41" s="31" t="s">
        <v>583</v>
      </c>
      <c r="H41" s="31" t="s">
        <v>765</v>
      </c>
      <c r="I41" s="31" t="s">
        <v>624</v>
      </c>
      <c r="J41" s="31" t="s">
        <v>267</v>
      </c>
      <c r="K41" s="31" t="s">
        <v>59</v>
      </c>
      <c r="L41" s="32">
        <v>46174</v>
      </c>
      <c r="M41" s="32"/>
      <c r="N41" s="32"/>
      <c r="O41" s="31"/>
      <c r="P41" s="31" t="s">
        <v>44</v>
      </c>
      <c r="Q41" s="58" t="b">
        <v>1</v>
      </c>
      <c r="R41" s="33" t="s">
        <v>103</v>
      </c>
      <c r="S41" s="31" t="s">
        <v>46</v>
      </c>
      <c r="T41" s="2"/>
      <c r="U41" s="2" t="str">
        <f>IF(TablaAsistidos[[#This Row],[Fecha requerida]]="","N",IF(TablaAsistidos[[#This Row],[Fecha requerida]]&lt;=DATE(2026,4,30),"S","N"))</f>
        <v>N</v>
      </c>
    </row>
    <row r="42" spans="2:21" ht="41.5" hidden="1" customHeight="1">
      <c r="B42" s="31">
        <v>39</v>
      </c>
      <c r="C42" s="69" t="s">
        <v>7</v>
      </c>
      <c r="D42" s="35" t="s">
        <v>35</v>
      </c>
      <c r="E42" s="70" t="s">
        <v>770</v>
      </c>
      <c r="F42" s="64" t="s">
        <v>621</v>
      </c>
      <c r="G42" s="31" t="s">
        <v>583</v>
      </c>
      <c r="H42" s="31" t="s">
        <v>767</v>
      </c>
      <c r="I42" s="31" t="s">
        <v>622</v>
      </c>
      <c r="J42" s="31" t="s">
        <v>267</v>
      </c>
      <c r="K42" s="31" t="s">
        <v>59</v>
      </c>
      <c r="L42" s="32">
        <v>46174</v>
      </c>
      <c r="M42" s="32"/>
      <c r="N42" s="32"/>
      <c r="O42" s="31"/>
      <c r="P42" s="31" t="s">
        <v>44</v>
      </c>
      <c r="Q42" s="58" t="b">
        <v>1</v>
      </c>
      <c r="R42" s="33" t="s">
        <v>103</v>
      </c>
      <c r="S42" s="31" t="s">
        <v>46</v>
      </c>
      <c r="T42" s="2"/>
      <c r="U42" s="2" t="str">
        <f>IF(TablaAsistidos[[#This Row],[Fecha requerida]]="","N",IF(TablaAsistidos[[#This Row],[Fecha requerida]]&lt;=DATE(2026,4,30),"S","N"))</f>
        <v>N</v>
      </c>
    </row>
    <row r="43" spans="2:21" ht="41.5" hidden="1" customHeight="1">
      <c r="B43" s="31">
        <v>40</v>
      </c>
      <c r="C43" s="69" t="s">
        <v>7</v>
      </c>
      <c r="D43" s="35" t="s">
        <v>35</v>
      </c>
      <c r="E43" s="70" t="s">
        <v>771</v>
      </c>
      <c r="F43" s="64" t="s">
        <v>621</v>
      </c>
      <c r="G43" s="31" t="s">
        <v>583</v>
      </c>
      <c r="H43" s="31" t="s">
        <v>584</v>
      </c>
      <c r="I43" s="31" t="s">
        <v>626</v>
      </c>
      <c r="J43" s="31" t="s">
        <v>267</v>
      </c>
      <c r="K43" s="31" t="s">
        <v>59</v>
      </c>
      <c r="L43" s="32">
        <v>46174</v>
      </c>
      <c r="M43" s="32"/>
      <c r="N43" s="32"/>
      <c r="O43" s="31"/>
      <c r="P43" s="31" t="s">
        <v>44</v>
      </c>
      <c r="Q43" s="58" t="b">
        <v>1</v>
      </c>
      <c r="R43" s="33" t="s">
        <v>103</v>
      </c>
      <c r="S43" s="31" t="s">
        <v>46</v>
      </c>
      <c r="T43" s="2"/>
      <c r="U43" s="2" t="str">
        <f>IF(TablaAsistidos[[#This Row],[Fecha requerida]]="","N",IF(TablaAsistidos[[#This Row],[Fecha requerida]]&lt;=DATE(2026,4,30),"S","N"))</f>
        <v>N</v>
      </c>
    </row>
    <row r="44" spans="2:21" ht="14.5" hidden="1" customHeight="1">
      <c r="B44" s="31">
        <v>41</v>
      </c>
      <c r="C44" s="69" t="s">
        <v>7</v>
      </c>
      <c r="D44" s="35" t="s">
        <v>35</v>
      </c>
      <c r="E44" s="70" t="s">
        <v>772</v>
      </c>
      <c r="F44" s="64" t="s">
        <v>578</v>
      </c>
      <c r="G44" s="31" t="s">
        <v>510</v>
      </c>
      <c r="H44" s="31" t="s">
        <v>773</v>
      </c>
      <c r="I44" s="31" t="s">
        <v>651</v>
      </c>
      <c r="J44" s="31" t="s">
        <v>12</v>
      </c>
      <c r="K44" s="31" t="s">
        <v>42</v>
      </c>
      <c r="L44" s="32">
        <v>46178</v>
      </c>
      <c r="M44" s="32"/>
      <c r="N44" s="32"/>
      <c r="O44" s="31"/>
      <c r="P44" s="31" t="s">
        <v>44</v>
      </c>
      <c r="Q44" s="58" t="b">
        <v>1</v>
      </c>
      <c r="R44" s="33" t="s">
        <v>103</v>
      </c>
      <c r="S44" s="31" t="s">
        <v>46</v>
      </c>
      <c r="T44" s="2"/>
      <c r="U44" s="2" t="str">
        <f>IF(TablaAsistidos[[#This Row],[Fecha requerida]]="","N",IF(TablaAsistidos[[#This Row],[Fecha requerida]]&lt;=DATE(2026,4,30),"S","N"))</f>
        <v>N</v>
      </c>
    </row>
    <row r="45" spans="2:21" ht="41.5" hidden="1" customHeight="1">
      <c r="B45" s="31">
        <v>42</v>
      </c>
      <c r="C45" s="69" t="s">
        <v>7</v>
      </c>
      <c r="D45" s="35" t="s">
        <v>35</v>
      </c>
      <c r="E45" s="70" t="s">
        <v>774</v>
      </c>
      <c r="F45" s="64" t="s">
        <v>621</v>
      </c>
      <c r="G45" s="31" t="s">
        <v>775</v>
      </c>
      <c r="H45" s="31" t="s">
        <v>776</v>
      </c>
      <c r="I45" s="31" t="s">
        <v>628</v>
      </c>
      <c r="J45" s="31" t="s">
        <v>41</v>
      </c>
      <c r="K45" s="31" t="s">
        <v>42</v>
      </c>
      <c r="L45" s="32">
        <v>46203</v>
      </c>
      <c r="M45" s="32"/>
      <c r="N45" s="32">
        <v>46203</v>
      </c>
      <c r="O45" s="31"/>
      <c r="P45" s="31" t="s">
        <v>277</v>
      </c>
      <c r="Q45" s="58" t="b">
        <v>1</v>
      </c>
      <c r="R45" s="33" t="s">
        <v>103</v>
      </c>
      <c r="S45" s="31" t="s">
        <v>46</v>
      </c>
      <c r="T45" s="2"/>
      <c r="U45" s="2" t="str">
        <f>IF(TablaAsistidos[[#This Row],[Fecha requerida]]="","N",IF(TablaAsistidos[[#This Row],[Fecha requerida]]&lt;=DATE(2026,4,30),"S","N"))</f>
        <v>N</v>
      </c>
    </row>
    <row r="46" spans="2:21" ht="41.5" hidden="1" customHeight="1">
      <c r="B46" s="31">
        <v>43</v>
      </c>
      <c r="C46" s="69" t="s">
        <v>7</v>
      </c>
      <c r="D46" s="35" t="s">
        <v>35</v>
      </c>
      <c r="E46" s="70" t="s">
        <v>777</v>
      </c>
      <c r="F46" s="64" t="s">
        <v>621</v>
      </c>
      <c r="G46" s="31" t="s">
        <v>778</v>
      </c>
      <c r="H46" s="31" t="s">
        <v>779</v>
      </c>
      <c r="I46" s="31" t="s">
        <v>633</v>
      </c>
      <c r="J46" s="31" t="s">
        <v>41</v>
      </c>
      <c r="K46" s="31" t="s">
        <v>42</v>
      </c>
      <c r="L46" s="32">
        <v>46203</v>
      </c>
      <c r="M46" s="32"/>
      <c r="N46" s="32">
        <v>46203</v>
      </c>
      <c r="O46" s="31"/>
      <c r="P46" s="31" t="s">
        <v>780</v>
      </c>
      <c r="Q46" s="58" t="b">
        <v>1</v>
      </c>
      <c r="R46" s="33" t="s">
        <v>103</v>
      </c>
      <c r="S46" s="31" t="s">
        <v>46</v>
      </c>
      <c r="T46" s="2"/>
      <c r="U46" s="2" t="str">
        <f>IF(TablaAsistidos[[#This Row],[Fecha requerida]]="","N",IF(TablaAsistidos[[#This Row],[Fecha requerida]]&lt;=DATE(2026,4,30),"S","N"))</f>
        <v>N</v>
      </c>
    </row>
    <row r="47" spans="2:21" ht="41.5" hidden="1" customHeight="1">
      <c r="B47" s="31">
        <v>44</v>
      </c>
      <c r="C47" s="69" t="s">
        <v>7</v>
      </c>
      <c r="D47" s="35" t="s">
        <v>35</v>
      </c>
      <c r="E47" s="70" t="s">
        <v>781</v>
      </c>
      <c r="F47" s="64" t="s">
        <v>578</v>
      </c>
      <c r="G47" s="31" t="s">
        <v>5</v>
      </c>
      <c r="H47" s="31" t="s">
        <v>752</v>
      </c>
      <c r="I47" s="31" t="s">
        <v>664</v>
      </c>
      <c r="J47" s="31" t="s">
        <v>267</v>
      </c>
      <c r="K47" s="31" t="s">
        <v>59</v>
      </c>
      <c r="L47" s="32">
        <v>46136</v>
      </c>
      <c r="M47" s="32"/>
      <c r="N47" s="32"/>
      <c r="O47" s="31"/>
      <c r="P47" s="31" t="s">
        <v>44</v>
      </c>
      <c r="Q47" s="58" t="b">
        <v>1</v>
      </c>
      <c r="R47" s="33" t="s">
        <v>103</v>
      </c>
      <c r="S47" s="31" t="s">
        <v>46</v>
      </c>
      <c r="T47" s="2"/>
      <c r="U47" s="2" t="str">
        <f>IF(TablaAsistidos[[#This Row],[Fecha requerida]]="","N",IF(TablaAsistidos[[#This Row],[Fecha requerida]]&lt;=DATE(2026,4,30),"S","N"))</f>
        <v>S</v>
      </c>
    </row>
    <row r="48" spans="2:21" ht="14.5" hidden="1" customHeight="1">
      <c r="B48" s="31">
        <v>45</v>
      </c>
      <c r="C48" s="69" t="s">
        <v>7</v>
      </c>
      <c r="D48" s="35" t="s">
        <v>35</v>
      </c>
      <c r="E48" s="70" t="s">
        <v>781</v>
      </c>
      <c r="F48" s="64" t="s">
        <v>578</v>
      </c>
      <c r="G48" s="31" t="s">
        <v>38</v>
      </c>
      <c r="H48" s="31" t="s">
        <v>752</v>
      </c>
      <c r="I48" s="31" t="s">
        <v>664</v>
      </c>
      <c r="J48" s="31" t="s">
        <v>267</v>
      </c>
      <c r="K48" s="31" t="s">
        <v>59</v>
      </c>
      <c r="L48" s="32">
        <v>46136</v>
      </c>
      <c r="M48" s="32"/>
      <c r="N48" s="32"/>
      <c r="O48" s="31"/>
      <c r="P48" s="31" t="s">
        <v>44</v>
      </c>
      <c r="Q48" s="58" t="b">
        <v>1</v>
      </c>
      <c r="R48" s="33" t="s">
        <v>103</v>
      </c>
      <c r="S48" s="31" t="s">
        <v>46</v>
      </c>
      <c r="T48" s="2"/>
      <c r="U48" s="2" t="str">
        <f>IF(TablaAsistidos[[#This Row],[Fecha requerida]]="","N",IF(TablaAsistidos[[#This Row],[Fecha requerida]]&lt;=DATE(2026,4,30),"S","N"))</f>
        <v>S</v>
      </c>
    </row>
    <row r="49" spans="2:21" ht="14.5" hidden="1" customHeight="1">
      <c r="B49" s="31">
        <v>46</v>
      </c>
      <c r="C49" s="69" t="s">
        <v>7</v>
      </c>
      <c r="D49" s="35" t="s">
        <v>35</v>
      </c>
      <c r="E49" s="70" t="s">
        <v>782</v>
      </c>
      <c r="F49" s="64" t="s">
        <v>37</v>
      </c>
      <c r="G49" s="31" t="s">
        <v>8</v>
      </c>
      <c r="H49" s="31" t="s">
        <v>783</v>
      </c>
      <c r="I49" s="31" t="s">
        <v>602</v>
      </c>
      <c r="J49" s="31" t="s">
        <v>41</v>
      </c>
      <c r="K49" s="31" t="s">
        <v>42</v>
      </c>
      <c r="L49" s="32">
        <v>46204</v>
      </c>
      <c r="M49" s="32"/>
      <c r="N49" s="151" t="s">
        <v>43</v>
      </c>
      <c r="O49" s="31"/>
      <c r="P49" s="31" t="s">
        <v>44</v>
      </c>
      <c r="Q49" s="58" t="b">
        <v>1</v>
      </c>
      <c r="R49" s="134" t="s">
        <v>91</v>
      </c>
      <c r="S49" s="31" t="s">
        <v>46</v>
      </c>
      <c r="T49" s="2"/>
      <c r="U49" s="2" t="str">
        <f>IF(TablaAsistidos[[#This Row],[Fecha requerida]]="","N",IF(TablaAsistidos[[#This Row],[Fecha requerida]]&lt;=DATE(2026,4,30),"S","N"))</f>
        <v>N</v>
      </c>
    </row>
    <row r="50" spans="2:21" ht="14.5" hidden="1" customHeight="1">
      <c r="B50" s="31">
        <v>47</v>
      </c>
      <c r="C50" s="69" t="s">
        <v>7</v>
      </c>
      <c r="D50" s="35" t="s">
        <v>35</v>
      </c>
      <c r="E50" s="70" t="s">
        <v>782</v>
      </c>
      <c r="F50" s="64" t="s">
        <v>37</v>
      </c>
      <c r="G50" s="31" t="s">
        <v>38</v>
      </c>
      <c r="H50" s="31" t="s">
        <v>783</v>
      </c>
      <c r="I50" s="31" t="s">
        <v>603</v>
      </c>
      <c r="J50" s="31" t="s">
        <v>41</v>
      </c>
      <c r="K50" s="31" t="s">
        <v>42</v>
      </c>
      <c r="L50" s="32">
        <v>46204</v>
      </c>
      <c r="M50" s="32"/>
      <c r="N50" s="151" t="s">
        <v>43</v>
      </c>
      <c r="O50" s="31"/>
      <c r="P50" s="31" t="s">
        <v>44</v>
      </c>
      <c r="Q50" s="58" t="b">
        <v>1</v>
      </c>
      <c r="R50" s="134" t="s">
        <v>91</v>
      </c>
      <c r="S50" s="31" t="s">
        <v>46</v>
      </c>
      <c r="T50" s="2"/>
      <c r="U50" s="2" t="str">
        <f>IF(TablaAsistidos[[#This Row],[Fecha requerida]]="","N",IF(TablaAsistidos[[#This Row],[Fecha requerida]]&lt;=DATE(2026,4,30),"S","N"))</f>
        <v>N</v>
      </c>
    </row>
    <row r="51" spans="2:21" ht="14.5" hidden="1" customHeight="1">
      <c r="B51" s="31">
        <v>48</v>
      </c>
      <c r="C51" s="69" t="s">
        <v>7</v>
      </c>
      <c r="D51" s="35" t="s">
        <v>35</v>
      </c>
      <c r="E51" s="70" t="s">
        <v>784</v>
      </c>
      <c r="F51" s="64" t="s">
        <v>578</v>
      </c>
      <c r="G51" s="31" t="s">
        <v>5</v>
      </c>
      <c r="H51" s="31" t="s">
        <v>752</v>
      </c>
      <c r="I51" s="31" t="s">
        <v>664</v>
      </c>
      <c r="J51" s="31" t="s">
        <v>267</v>
      </c>
      <c r="K51" s="31" t="s">
        <v>59</v>
      </c>
      <c r="L51" s="32">
        <v>46136</v>
      </c>
      <c r="M51" s="32"/>
      <c r="N51" s="32"/>
      <c r="O51" s="31"/>
      <c r="P51" s="31" t="s">
        <v>44</v>
      </c>
      <c r="Q51" s="58" t="b">
        <v>1</v>
      </c>
      <c r="R51" s="33" t="s">
        <v>103</v>
      </c>
      <c r="S51" s="31" t="s">
        <v>46</v>
      </c>
      <c r="T51" s="2"/>
      <c r="U51" s="2" t="str">
        <f>IF(TablaAsistidos[[#This Row],[Fecha requerida]]="","N",IF(TablaAsistidos[[#This Row],[Fecha requerida]]&lt;=DATE(2026,4,30),"S","N"))</f>
        <v>S</v>
      </c>
    </row>
    <row r="52" spans="2:21" ht="41.5" hidden="1" customHeight="1">
      <c r="B52" s="31">
        <v>49</v>
      </c>
      <c r="C52" s="69" t="s">
        <v>7</v>
      </c>
      <c r="D52" s="35" t="s">
        <v>35</v>
      </c>
      <c r="E52" s="70" t="s">
        <v>784</v>
      </c>
      <c r="F52" s="64" t="s">
        <v>578</v>
      </c>
      <c r="G52" s="31" t="s">
        <v>38</v>
      </c>
      <c r="H52" s="31" t="s">
        <v>752</v>
      </c>
      <c r="I52" s="31" t="s">
        <v>664</v>
      </c>
      <c r="J52" s="31" t="s">
        <v>267</v>
      </c>
      <c r="K52" s="31" t="s">
        <v>59</v>
      </c>
      <c r="L52" s="32">
        <v>46136</v>
      </c>
      <c r="M52" s="32"/>
      <c r="N52" s="32"/>
      <c r="O52" s="31"/>
      <c r="P52" s="31" t="s">
        <v>44</v>
      </c>
      <c r="Q52" s="58" t="b">
        <v>1</v>
      </c>
      <c r="R52" s="33" t="s">
        <v>103</v>
      </c>
      <c r="S52" s="31" t="s">
        <v>46</v>
      </c>
      <c r="T52" s="2"/>
      <c r="U52" s="2" t="str">
        <f>IF(TablaAsistidos[[#This Row],[Fecha requerida]]="","N",IF(TablaAsistidos[[#This Row],[Fecha requerida]]&lt;=DATE(2026,4,30),"S","N"))</f>
        <v>S</v>
      </c>
    </row>
    <row r="53" spans="2:21" ht="41.5" hidden="1" customHeight="1">
      <c r="B53" s="31">
        <v>50</v>
      </c>
      <c r="C53" s="69" t="s">
        <v>7</v>
      </c>
      <c r="D53" s="35" t="s">
        <v>35</v>
      </c>
      <c r="E53" s="70" t="s">
        <v>785</v>
      </c>
      <c r="F53" s="64" t="s">
        <v>578</v>
      </c>
      <c r="G53" s="31" t="s">
        <v>5</v>
      </c>
      <c r="H53" s="31" t="s">
        <v>752</v>
      </c>
      <c r="I53" s="31" t="s">
        <v>664</v>
      </c>
      <c r="J53" s="31" t="s">
        <v>267</v>
      </c>
      <c r="K53" s="31" t="s">
        <v>59</v>
      </c>
      <c r="L53" s="32">
        <v>46136</v>
      </c>
      <c r="M53" s="32"/>
      <c r="N53" s="32"/>
      <c r="O53" s="31"/>
      <c r="P53" s="31" t="s">
        <v>44</v>
      </c>
      <c r="Q53" s="58" t="b">
        <v>1</v>
      </c>
      <c r="R53" s="33" t="s">
        <v>103</v>
      </c>
      <c r="S53" s="31" t="s">
        <v>46</v>
      </c>
      <c r="T53" s="2"/>
      <c r="U53" s="2" t="str">
        <f>IF(TablaAsistidos[[#This Row],[Fecha requerida]]="","N",IF(TablaAsistidos[[#This Row],[Fecha requerida]]&lt;=DATE(2026,4,30),"S","N"))</f>
        <v>S</v>
      </c>
    </row>
    <row r="54" spans="2:21" s="127" customFormat="1" ht="14.5" hidden="1" customHeight="1">
      <c r="B54" s="31">
        <v>51</v>
      </c>
      <c r="C54" s="129" t="s">
        <v>7</v>
      </c>
      <c r="D54" s="2" t="s">
        <v>35</v>
      </c>
      <c r="E54" s="70" t="s">
        <v>785</v>
      </c>
      <c r="F54" s="64" t="s">
        <v>578</v>
      </c>
      <c r="G54" s="31" t="s">
        <v>38</v>
      </c>
      <c r="H54" s="31" t="s">
        <v>752</v>
      </c>
      <c r="I54" s="31" t="s">
        <v>664</v>
      </c>
      <c r="J54" s="31" t="s">
        <v>267</v>
      </c>
      <c r="K54" s="31" t="s">
        <v>59</v>
      </c>
      <c r="L54" s="32">
        <v>46136</v>
      </c>
      <c r="M54" s="32"/>
      <c r="N54" s="32"/>
      <c r="O54" s="31"/>
      <c r="P54" s="31" t="s">
        <v>44</v>
      </c>
      <c r="Q54" s="58" t="b">
        <v>1</v>
      </c>
      <c r="R54" s="33" t="s">
        <v>103</v>
      </c>
      <c r="S54" s="31" t="s">
        <v>46</v>
      </c>
      <c r="T54" s="169"/>
      <c r="U54" s="2" t="str">
        <f>IF(TablaAsistidos[[#This Row],[Fecha requerida]]="","N",IF(TablaAsistidos[[#This Row],[Fecha requerida]]&lt;=DATE(2026,4,30),"S","N"))</f>
        <v>S</v>
      </c>
    </row>
    <row r="55" spans="2:21" ht="14.5" hidden="1" customHeight="1">
      <c r="B55" s="31">
        <v>52</v>
      </c>
      <c r="C55" s="69" t="s">
        <v>7</v>
      </c>
      <c r="D55" s="30" t="s">
        <v>35</v>
      </c>
      <c r="E55" s="70" t="s">
        <v>786</v>
      </c>
      <c r="F55" s="64" t="s">
        <v>578</v>
      </c>
      <c r="G55" s="31" t="s">
        <v>5</v>
      </c>
      <c r="H55" s="31" t="s">
        <v>761</v>
      </c>
      <c r="I55" s="31" t="s">
        <v>666</v>
      </c>
      <c r="J55" s="31" t="s">
        <v>267</v>
      </c>
      <c r="K55" s="31" t="s">
        <v>59</v>
      </c>
      <c r="L55" s="32">
        <v>46136</v>
      </c>
      <c r="M55" s="32"/>
      <c r="N55" s="32"/>
      <c r="O55" s="31"/>
      <c r="P55" s="31" t="s">
        <v>44</v>
      </c>
      <c r="Q55" s="58" t="b">
        <v>1</v>
      </c>
      <c r="R55" s="33" t="s">
        <v>103</v>
      </c>
      <c r="S55" s="31" t="s">
        <v>46</v>
      </c>
      <c r="T55" s="2"/>
      <c r="U55" s="2" t="str">
        <f>IF(TablaAsistidos[[#This Row],[Fecha requerida]]="","N",IF(TablaAsistidos[[#This Row],[Fecha requerida]]&lt;=DATE(2026,4,30),"S","N"))</f>
        <v>S</v>
      </c>
    </row>
    <row r="56" spans="2:21" ht="41.5" hidden="1" customHeight="1">
      <c r="B56" s="31">
        <v>53</v>
      </c>
      <c r="C56" s="69" t="s">
        <v>7</v>
      </c>
      <c r="D56" s="30" t="s">
        <v>35</v>
      </c>
      <c r="E56" s="70" t="s">
        <v>787</v>
      </c>
      <c r="F56" s="64" t="s">
        <v>578</v>
      </c>
      <c r="G56" s="31" t="s">
        <v>38</v>
      </c>
      <c r="H56" s="31" t="s">
        <v>754</v>
      </c>
      <c r="I56" s="31" t="s">
        <v>665</v>
      </c>
      <c r="J56" s="31" t="s">
        <v>267</v>
      </c>
      <c r="K56" s="31" t="s">
        <v>59</v>
      </c>
      <c r="L56" s="32">
        <v>46136</v>
      </c>
      <c r="M56" s="32"/>
      <c r="N56" s="32"/>
      <c r="O56" s="31"/>
      <c r="P56" s="31" t="s">
        <v>44</v>
      </c>
      <c r="Q56" s="58" t="b">
        <v>1</v>
      </c>
      <c r="R56" s="33" t="s">
        <v>103</v>
      </c>
      <c r="S56" s="31" t="s">
        <v>46</v>
      </c>
      <c r="T56" s="2"/>
      <c r="U56" s="2" t="str">
        <f>IF(TablaAsistidos[[#This Row],[Fecha requerida]]="","N",IF(TablaAsistidos[[#This Row],[Fecha requerida]]&lt;=DATE(2026,4,30),"S","N"))</f>
        <v>S</v>
      </c>
    </row>
    <row r="57" spans="2:21" ht="41.5" hidden="1" customHeight="1">
      <c r="B57" s="31">
        <v>54</v>
      </c>
      <c r="C57" s="69" t="s">
        <v>7</v>
      </c>
      <c r="D57" s="128" t="s">
        <v>35</v>
      </c>
      <c r="E57" s="130" t="s">
        <v>787</v>
      </c>
      <c r="F57" s="131" t="s">
        <v>578</v>
      </c>
      <c r="G57" s="132"/>
      <c r="H57" s="132" t="s">
        <v>788</v>
      </c>
      <c r="I57" s="132" t="s">
        <v>669</v>
      </c>
      <c r="J57" s="132" t="s">
        <v>267</v>
      </c>
      <c r="K57" s="132" t="s">
        <v>59</v>
      </c>
      <c r="L57" s="133">
        <v>46136</v>
      </c>
      <c r="M57" s="133"/>
      <c r="N57" s="133"/>
      <c r="O57" s="132"/>
      <c r="P57" s="132" t="s">
        <v>44</v>
      </c>
      <c r="Q57" s="58" t="b">
        <v>1</v>
      </c>
      <c r="R57" s="33" t="s">
        <v>103</v>
      </c>
      <c r="S57" s="132" t="s">
        <v>46</v>
      </c>
      <c r="T57" s="2"/>
      <c r="U57" s="2" t="str">
        <f>IF(TablaAsistidos[[#This Row],[Fecha requerida]]="","N",IF(TablaAsistidos[[#This Row],[Fecha requerida]]&lt;=DATE(2026,4,30),"S","N"))</f>
        <v>S</v>
      </c>
    </row>
    <row r="58" spans="2:21" ht="41.5" hidden="1" customHeight="1">
      <c r="B58" s="31">
        <v>55</v>
      </c>
      <c r="C58" s="69" t="s">
        <v>7</v>
      </c>
      <c r="D58" s="30" t="s">
        <v>35</v>
      </c>
      <c r="E58" s="70" t="s">
        <v>789</v>
      </c>
      <c r="F58" s="64" t="s">
        <v>578</v>
      </c>
      <c r="G58" s="31" t="s">
        <v>8</v>
      </c>
      <c r="H58" s="31" t="s">
        <v>790</v>
      </c>
      <c r="I58" s="31" t="s">
        <v>644</v>
      </c>
      <c r="J58" s="31" t="s">
        <v>41</v>
      </c>
      <c r="K58" s="31" t="s">
        <v>59</v>
      </c>
      <c r="L58" s="32">
        <v>46176</v>
      </c>
      <c r="M58" s="32"/>
      <c r="N58" s="32"/>
      <c r="O58" s="31"/>
      <c r="P58" s="31" t="s">
        <v>44</v>
      </c>
      <c r="Q58" s="58" t="b">
        <v>1</v>
      </c>
      <c r="R58" s="33" t="s">
        <v>103</v>
      </c>
      <c r="S58" s="31" t="s">
        <v>46</v>
      </c>
      <c r="T58" s="2"/>
      <c r="U58" s="2" t="str">
        <f>IF(TablaAsistidos[[#This Row],[Fecha requerida]]="","N",IF(TablaAsistidos[[#This Row],[Fecha requerida]]&lt;=DATE(2026,4,30),"S","N"))</f>
        <v>N</v>
      </c>
    </row>
    <row r="59" spans="2:21" ht="41.5" hidden="1" customHeight="1">
      <c r="B59" s="31">
        <v>56</v>
      </c>
      <c r="C59" s="69" t="s">
        <v>7</v>
      </c>
      <c r="D59" s="35" t="s">
        <v>35</v>
      </c>
      <c r="E59" s="70" t="s">
        <v>789</v>
      </c>
      <c r="F59" s="64" t="s">
        <v>578</v>
      </c>
      <c r="G59" s="31" t="s">
        <v>583</v>
      </c>
      <c r="H59" s="31" t="s">
        <v>791</v>
      </c>
      <c r="I59" s="31" t="s">
        <v>652</v>
      </c>
      <c r="J59" s="31" t="s">
        <v>41</v>
      </c>
      <c r="K59" s="31" t="s">
        <v>59</v>
      </c>
      <c r="L59" s="32">
        <v>46176</v>
      </c>
      <c r="M59" s="32"/>
      <c r="N59" s="32"/>
      <c r="O59" s="31"/>
      <c r="P59" s="31" t="s">
        <v>44</v>
      </c>
      <c r="Q59" s="58" t="b">
        <v>1</v>
      </c>
      <c r="R59" s="33" t="s">
        <v>103</v>
      </c>
      <c r="S59" s="31" t="s">
        <v>46</v>
      </c>
      <c r="T59" s="2"/>
      <c r="U59" s="2" t="str">
        <f>IF(TablaAsistidos[[#This Row],[Fecha requerida]]="","N",IF(TablaAsistidos[[#This Row],[Fecha requerida]]&lt;=DATE(2026,4,30),"S","N"))</f>
        <v>N</v>
      </c>
    </row>
    <row r="60" spans="2:21" ht="41.5" hidden="1" customHeight="1">
      <c r="B60" s="31">
        <v>57</v>
      </c>
      <c r="C60" s="69" t="s">
        <v>7</v>
      </c>
      <c r="D60" s="35" t="s">
        <v>35</v>
      </c>
      <c r="E60" s="70" t="s">
        <v>792</v>
      </c>
      <c r="F60" s="64" t="s">
        <v>578</v>
      </c>
      <c r="G60" s="31" t="s">
        <v>38</v>
      </c>
      <c r="H60" s="31" t="s">
        <v>793</v>
      </c>
      <c r="I60" s="31" t="s">
        <v>635</v>
      </c>
      <c r="J60" s="31" t="s">
        <v>41</v>
      </c>
      <c r="K60" s="31" t="s">
        <v>59</v>
      </c>
      <c r="L60" s="32">
        <v>46176</v>
      </c>
      <c r="M60" s="32"/>
      <c r="N60" s="32"/>
      <c r="O60" s="31"/>
      <c r="P60" s="31" t="s">
        <v>44</v>
      </c>
      <c r="Q60" s="58" t="b">
        <v>1</v>
      </c>
      <c r="R60" s="33" t="s">
        <v>103</v>
      </c>
      <c r="S60" s="31" t="s">
        <v>46</v>
      </c>
      <c r="T60" s="2"/>
      <c r="U60" s="2" t="str">
        <f>IF(TablaAsistidos[[#This Row],[Fecha requerida]]="","N",IF(TablaAsistidos[[#This Row],[Fecha requerida]]&lt;=DATE(2026,4,30),"S","N"))</f>
        <v>N</v>
      </c>
    </row>
    <row r="61" spans="2:21" ht="41.5" hidden="1" customHeight="1">
      <c r="B61" s="31">
        <v>58</v>
      </c>
      <c r="C61" s="69" t="s">
        <v>7</v>
      </c>
      <c r="D61" s="35" t="s">
        <v>35</v>
      </c>
      <c r="E61" s="70" t="s">
        <v>792</v>
      </c>
      <c r="F61" s="64" t="s">
        <v>578</v>
      </c>
      <c r="G61" s="31" t="s">
        <v>8</v>
      </c>
      <c r="H61" s="31" t="s">
        <v>790</v>
      </c>
      <c r="I61" s="31" t="s">
        <v>644</v>
      </c>
      <c r="J61" s="31" t="s">
        <v>41</v>
      </c>
      <c r="K61" s="31" t="s">
        <v>59</v>
      </c>
      <c r="L61" s="32">
        <v>46176</v>
      </c>
      <c r="M61" s="32"/>
      <c r="N61" s="32"/>
      <c r="O61" s="31"/>
      <c r="P61" s="31" t="s">
        <v>44</v>
      </c>
      <c r="Q61" s="58" t="b">
        <v>1</v>
      </c>
      <c r="R61" s="33" t="s">
        <v>103</v>
      </c>
      <c r="S61" s="31" t="s">
        <v>46</v>
      </c>
      <c r="T61" s="2"/>
      <c r="U61" s="2" t="str">
        <f>IF(TablaAsistidos[[#This Row],[Fecha requerida]]="","N",IF(TablaAsistidos[[#This Row],[Fecha requerida]]&lt;=DATE(2026,4,30),"S","N"))</f>
        <v>N</v>
      </c>
    </row>
    <row r="62" spans="2:21" ht="41.5" customHeight="1">
      <c r="B62" s="31">
        <v>59</v>
      </c>
      <c r="C62" s="69" t="s">
        <v>7</v>
      </c>
      <c r="D62" s="35" t="s">
        <v>35</v>
      </c>
      <c r="E62" s="70" t="s">
        <v>792</v>
      </c>
      <c r="F62" s="64" t="s">
        <v>578</v>
      </c>
      <c r="G62" s="31" t="s">
        <v>794</v>
      </c>
      <c r="H62" s="31" t="s">
        <v>735</v>
      </c>
      <c r="I62" s="31" t="s">
        <v>670</v>
      </c>
      <c r="J62" s="31" t="s">
        <v>41</v>
      </c>
      <c r="K62" s="31" t="s">
        <v>59</v>
      </c>
      <c r="L62" s="32">
        <v>46112</v>
      </c>
      <c r="M62" s="32">
        <v>46119</v>
      </c>
      <c r="N62" s="32"/>
      <c r="O62" s="31"/>
      <c r="P62" s="31" t="s">
        <v>44</v>
      </c>
      <c r="Q62" s="58" t="b">
        <v>1</v>
      </c>
      <c r="R62" s="33" t="s">
        <v>169</v>
      </c>
      <c r="S62" s="31" t="s">
        <v>46</v>
      </c>
      <c r="T62" s="13"/>
      <c r="U62" s="2" t="str">
        <f>IF(TablaAsistidos[[#This Row],[Fecha requerida]]="","N",IF(TablaAsistidos[[#This Row],[Fecha requerida]]&lt;=DATE(2026,4,30),"S","N"))</f>
        <v>S</v>
      </c>
    </row>
    <row r="63" spans="2:21" ht="41.5" hidden="1" customHeight="1">
      <c r="B63" s="31">
        <v>60</v>
      </c>
      <c r="C63" s="69" t="s">
        <v>7</v>
      </c>
      <c r="D63" s="35" t="s">
        <v>35</v>
      </c>
      <c r="E63" s="70" t="s">
        <v>792</v>
      </c>
      <c r="F63" s="64" t="s">
        <v>578</v>
      </c>
      <c r="G63" s="31" t="s">
        <v>583</v>
      </c>
      <c r="H63" s="31" t="s">
        <v>791</v>
      </c>
      <c r="I63" s="31" t="s">
        <v>652</v>
      </c>
      <c r="J63" s="31" t="s">
        <v>41</v>
      </c>
      <c r="K63" s="31" t="s">
        <v>59</v>
      </c>
      <c r="L63" s="32">
        <v>46176</v>
      </c>
      <c r="M63" s="32"/>
      <c r="N63" s="32"/>
      <c r="O63" s="31"/>
      <c r="P63" s="31" t="s">
        <v>44</v>
      </c>
      <c r="Q63" s="58" t="b">
        <v>1</v>
      </c>
      <c r="R63" s="33" t="s">
        <v>103</v>
      </c>
      <c r="S63" s="31" t="s">
        <v>46</v>
      </c>
      <c r="T63" s="2"/>
      <c r="U63" s="2" t="str">
        <f>IF(TablaAsistidos[[#This Row],[Fecha requerida]]="","N",IF(TablaAsistidos[[#This Row],[Fecha requerida]]&lt;=DATE(2026,4,30),"S","N"))</f>
        <v>N</v>
      </c>
    </row>
    <row r="64" spans="2:21" ht="41.5" hidden="1" customHeight="1">
      <c r="B64" s="31">
        <v>61</v>
      </c>
      <c r="C64" s="69" t="s">
        <v>7</v>
      </c>
      <c r="D64" s="35" t="s">
        <v>35</v>
      </c>
      <c r="E64" s="70" t="s">
        <v>792</v>
      </c>
      <c r="F64" s="64" t="s">
        <v>578</v>
      </c>
      <c r="G64" s="31" t="s">
        <v>38</v>
      </c>
      <c r="H64" s="31" t="s">
        <v>795</v>
      </c>
      <c r="I64" s="31" t="s">
        <v>646</v>
      </c>
      <c r="J64" s="31" t="s">
        <v>41</v>
      </c>
      <c r="K64" s="31" t="s">
        <v>59</v>
      </c>
      <c r="L64" s="32">
        <v>46127</v>
      </c>
      <c r="M64" s="32"/>
      <c r="N64" s="32"/>
      <c r="O64" s="31"/>
      <c r="P64" s="31" t="s">
        <v>44</v>
      </c>
      <c r="Q64" s="58" t="b">
        <v>1</v>
      </c>
      <c r="R64" s="33" t="s">
        <v>103</v>
      </c>
      <c r="S64" s="31" t="s">
        <v>46</v>
      </c>
      <c r="T64" s="2"/>
      <c r="U64" s="2" t="str">
        <f>IF(TablaAsistidos[[#This Row],[Fecha requerida]]="","N",IF(TablaAsistidos[[#This Row],[Fecha requerida]]&lt;=DATE(2026,4,30),"S","N"))</f>
        <v>S</v>
      </c>
    </row>
    <row r="65" spans="2:21" ht="14.5" hidden="1" customHeight="1">
      <c r="B65" s="31">
        <v>62</v>
      </c>
      <c r="C65" s="69" t="s">
        <v>7</v>
      </c>
      <c r="D65" s="35" t="s">
        <v>35</v>
      </c>
      <c r="E65" s="70" t="s">
        <v>792</v>
      </c>
      <c r="F65" s="64" t="s">
        <v>578</v>
      </c>
      <c r="G65" s="31" t="s">
        <v>38</v>
      </c>
      <c r="H65" s="31" t="s">
        <v>796</v>
      </c>
      <c r="I65" s="31" t="s">
        <v>647</v>
      </c>
      <c r="J65" s="31" t="s">
        <v>41</v>
      </c>
      <c r="K65" s="31" t="s">
        <v>59</v>
      </c>
      <c r="L65" s="32">
        <v>46127</v>
      </c>
      <c r="M65" s="32"/>
      <c r="N65" s="32"/>
      <c r="O65" s="31"/>
      <c r="P65" s="31" t="s">
        <v>44</v>
      </c>
      <c r="Q65" s="58" t="b">
        <v>1</v>
      </c>
      <c r="R65" s="33" t="s">
        <v>103</v>
      </c>
      <c r="S65" s="31" t="s">
        <v>46</v>
      </c>
      <c r="T65" s="2"/>
      <c r="U65" s="2" t="str">
        <f>IF(TablaAsistidos[[#This Row],[Fecha requerida]]="","N",IF(TablaAsistidos[[#This Row],[Fecha requerida]]&lt;=DATE(2026,4,30),"S","N"))</f>
        <v>S</v>
      </c>
    </row>
    <row r="66" spans="2:21" ht="41.5" hidden="1" customHeight="1">
      <c r="B66" s="31">
        <v>63</v>
      </c>
      <c r="C66" s="69" t="s">
        <v>7</v>
      </c>
      <c r="D66" s="35" t="s">
        <v>35</v>
      </c>
      <c r="E66" s="70" t="s">
        <v>797</v>
      </c>
      <c r="F66" s="64" t="s">
        <v>621</v>
      </c>
      <c r="G66" s="31" t="s">
        <v>12</v>
      </c>
      <c r="H66" s="31" t="s">
        <v>718</v>
      </c>
      <c r="I66" s="31" t="s">
        <v>600</v>
      </c>
      <c r="J66" s="31" t="s">
        <v>41</v>
      </c>
      <c r="K66" s="31" t="s">
        <v>59</v>
      </c>
      <c r="L66" s="32">
        <v>46112</v>
      </c>
      <c r="M66" s="32"/>
      <c r="N66" s="32">
        <v>46112</v>
      </c>
      <c r="O66" s="31"/>
      <c r="P66" s="31" t="s">
        <v>44</v>
      </c>
      <c r="Q66" s="58" t="b">
        <v>1</v>
      </c>
      <c r="R66" s="89" t="s">
        <v>179</v>
      </c>
      <c r="S66" s="31" t="s">
        <v>46</v>
      </c>
      <c r="T66" s="2"/>
      <c r="U66" s="2" t="str">
        <f>IF(TablaAsistidos[[#This Row],[Fecha requerida]]="","N",IF(TablaAsistidos[[#This Row],[Fecha requerida]]&lt;=DATE(2026,4,30),"S","N"))</f>
        <v>S</v>
      </c>
    </row>
    <row r="67" spans="2:21" ht="14.5" hidden="1" customHeight="1">
      <c r="B67" s="31">
        <v>64</v>
      </c>
      <c r="C67" s="69" t="s">
        <v>7</v>
      </c>
      <c r="D67" s="35" t="s">
        <v>35</v>
      </c>
      <c r="E67" s="70" t="s">
        <v>797</v>
      </c>
      <c r="F67" s="64" t="s">
        <v>621</v>
      </c>
      <c r="G67" s="31" t="s">
        <v>775</v>
      </c>
      <c r="H67" s="31" t="s">
        <v>776</v>
      </c>
      <c r="I67" s="31" t="s">
        <v>629</v>
      </c>
      <c r="J67" s="31" t="s">
        <v>41</v>
      </c>
      <c r="K67" s="31" t="s">
        <v>42</v>
      </c>
      <c r="L67" s="32">
        <v>46203</v>
      </c>
      <c r="M67" s="32"/>
      <c r="N67" s="32">
        <v>46203</v>
      </c>
      <c r="O67" s="31"/>
      <c r="P67" s="31" t="s">
        <v>277</v>
      </c>
      <c r="Q67" s="58" t="b">
        <v>1</v>
      </c>
      <c r="R67" s="33" t="s">
        <v>103</v>
      </c>
      <c r="S67" s="31" t="s">
        <v>46</v>
      </c>
      <c r="T67" s="2"/>
      <c r="U67" s="2" t="str">
        <f>IF(TablaAsistidos[[#This Row],[Fecha requerida]]="","N",IF(TablaAsistidos[[#This Row],[Fecha requerida]]&lt;=DATE(2026,4,30),"S","N"))</f>
        <v>N</v>
      </c>
    </row>
    <row r="68" spans="2:21" ht="14.5" hidden="1" customHeight="1">
      <c r="B68" s="31">
        <v>65</v>
      </c>
      <c r="C68" s="69" t="s">
        <v>7</v>
      </c>
      <c r="D68" s="35" t="s">
        <v>35</v>
      </c>
      <c r="E68" s="70" t="s">
        <v>798</v>
      </c>
      <c r="F68" s="64" t="s">
        <v>578</v>
      </c>
      <c r="G68" s="31" t="s">
        <v>5</v>
      </c>
      <c r="H68" s="31" t="s">
        <v>799</v>
      </c>
      <c r="I68" s="31" t="s">
        <v>657</v>
      </c>
      <c r="J68" s="31" t="s">
        <v>41</v>
      </c>
      <c r="K68" s="31" t="s">
        <v>59</v>
      </c>
      <c r="L68" s="32">
        <v>46199</v>
      </c>
      <c r="M68" s="32"/>
      <c r="N68" s="32"/>
      <c r="O68" s="31"/>
      <c r="P68" s="31" t="s">
        <v>44</v>
      </c>
      <c r="Q68" s="58" t="b">
        <v>1</v>
      </c>
      <c r="R68" s="33" t="s">
        <v>103</v>
      </c>
      <c r="S68" s="31" t="s">
        <v>46</v>
      </c>
      <c r="T68" s="2"/>
      <c r="U68" s="2" t="str">
        <f>IF(TablaAsistidos[[#This Row],[Fecha requerida]]="","N",IF(TablaAsistidos[[#This Row],[Fecha requerida]]&lt;=DATE(2026,4,30),"S","N"))</f>
        <v>N</v>
      </c>
    </row>
    <row r="69" spans="2:21" ht="14.5" hidden="1" customHeight="1">
      <c r="B69" s="31">
        <v>66</v>
      </c>
      <c r="C69" s="69" t="s">
        <v>7</v>
      </c>
      <c r="D69" s="35" t="s">
        <v>35</v>
      </c>
      <c r="E69" s="70" t="s">
        <v>800</v>
      </c>
      <c r="F69" s="64" t="s">
        <v>37</v>
      </c>
      <c r="G69" s="31" t="s">
        <v>5</v>
      </c>
      <c r="H69" s="31" t="s">
        <v>62</v>
      </c>
      <c r="I69" s="31" t="s">
        <v>63</v>
      </c>
      <c r="J69" s="31" t="s">
        <v>41</v>
      </c>
      <c r="K69" s="31" t="s">
        <v>42</v>
      </c>
      <c r="L69" s="32">
        <v>46206</v>
      </c>
      <c r="M69" s="32"/>
      <c r="N69" s="151" t="s">
        <v>43</v>
      </c>
      <c r="O69" s="31"/>
      <c r="P69" s="31" t="s">
        <v>44</v>
      </c>
      <c r="Q69" s="58" t="b">
        <v>1</v>
      </c>
      <c r="R69" s="134" t="s">
        <v>91</v>
      </c>
      <c r="S69" s="31" t="s">
        <v>46</v>
      </c>
      <c r="T69" s="2"/>
      <c r="U69" s="2" t="str">
        <f>IF(TablaAsistidos[[#This Row],[Fecha requerida]]="","N",IF(TablaAsistidos[[#This Row],[Fecha requerida]]&lt;=DATE(2026,4,30),"S","N"))</f>
        <v>N</v>
      </c>
    </row>
    <row r="70" spans="2:21" ht="14.5" hidden="1" customHeight="1">
      <c r="B70" s="31">
        <v>67</v>
      </c>
      <c r="C70" s="69" t="s">
        <v>7</v>
      </c>
      <c r="D70" s="35" t="s">
        <v>35</v>
      </c>
      <c r="E70" s="70" t="s">
        <v>800</v>
      </c>
      <c r="F70" s="64" t="s">
        <v>37</v>
      </c>
      <c r="G70" s="31" t="s">
        <v>12</v>
      </c>
      <c r="H70" s="31" t="s">
        <v>717</v>
      </c>
      <c r="I70" s="31" t="s">
        <v>599</v>
      </c>
      <c r="J70" s="31" t="s">
        <v>41</v>
      </c>
      <c r="K70" s="31" t="s">
        <v>59</v>
      </c>
      <c r="L70" s="32">
        <v>46127</v>
      </c>
      <c r="M70" s="32"/>
      <c r="N70" s="32"/>
      <c r="O70" s="31"/>
      <c r="P70" s="31" t="s">
        <v>44</v>
      </c>
      <c r="Q70" s="58" t="b">
        <v>1</v>
      </c>
      <c r="R70" s="33" t="s">
        <v>103</v>
      </c>
      <c r="S70" s="31" t="s">
        <v>46</v>
      </c>
      <c r="T70" s="2"/>
      <c r="U70" s="2" t="str">
        <f>IF(TablaAsistidos[[#This Row],[Fecha requerida]]="","N",IF(TablaAsistidos[[#This Row],[Fecha requerida]]&lt;=DATE(2026,4,30),"S","N"))</f>
        <v>S</v>
      </c>
    </row>
    <row r="71" spans="2:21" ht="41.5" hidden="1" customHeight="1">
      <c r="B71" s="31">
        <v>68</v>
      </c>
      <c r="C71" s="69" t="s">
        <v>7</v>
      </c>
      <c r="D71" s="35" t="s">
        <v>35</v>
      </c>
      <c r="E71" s="70" t="s">
        <v>800</v>
      </c>
      <c r="F71" s="64" t="s">
        <v>37</v>
      </c>
      <c r="G71" s="31" t="s">
        <v>12</v>
      </c>
      <c r="H71" s="31" t="s">
        <v>718</v>
      </c>
      <c r="I71" s="31" t="s">
        <v>600</v>
      </c>
      <c r="J71" s="31" t="s">
        <v>41</v>
      </c>
      <c r="K71" s="31" t="s">
        <v>59</v>
      </c>
      <c r="L71" s="32">
        <v>46112</v>
      </c>
      <c r="M71" s="32"/>
      <c r="N71" s="32"/>
      <c r="O71" s="31"/>
      <c r="P71" s="31" t="s">
        <v>44</v>
      </c>
      <c r="Q71" s="58" t="b">
        <v>1</v>
      </c>
      <c r="R71" s="33" t="s">
        <v>103</v>
      </c>
      <c r="S71" s="31" t="s">
        <v>46</v>
      </c>
      <c r="T71" s="2"/>
      <c r="U71" s="2" t="str">
        <f>IF(TablaAsistidos[[#This Row],[Fecha requerida]]="","N",IF(TablaAsistidos[[#This Row],[Fecha requerida]]&lt;=DATE(2026,4,30),"S","N"))</f>
        <v>S</v>
      </c>
    </row>
    <row r="72" spans="2:21" ht="41.5" customHeight="1">
      <c r="B72" s="31">
        <v>69</v>
      </c>
      <c r="C72" s="69" t="s">
        <v>7</v>
      </c>
      <c r="D72" s="35" t="s">
        <v>35</v>
      </c>
      <c r="E72" s="70" t="s">
        <v>801</v>
      </c>
      <c r="F72" s="64" t="s">
        <v>578</v>
      </c>
      <c r="G72" s="31" t="s">
        <v>38</v>
      </c>
      <c r="H72" s="31" t="s">
        <v>756</v>
      </c>
      <c r="I72" s="31" t="s">
        <v>653</v>
      </c>
      <c r="J72" s="31" t="s">
        <v>41</v>
      </c>
      <c r="K72" s="31" t="s">
        <v>59</v>
      </c>
      <c r="L72" s="32">
        <v>46112</v>
      </c>
      <c r="M72" s="32">
        <v>46119</v>
      </c>
      <c r="N72" s="32"/>
      <c r="O72" s="31"/>
      <c r="P72" s="31" t="s">
        <v>44</v>
      </c>
      <c r="Q72" s="58" t="b">
        <v>1</v>
      </c>
      <c r="R72" s="33" t="s">
        <v>179</v>
      </c>
      <c r="S72" s="31" t="s">
        <v>46</v>
      </c>
      <c r="T72" s="13" t="s">
        <v>802</v>
      </c>
      <c r="U72" s="2" t="str">
        <f>IF(TablaAsistidos[[#This Row],[Fecha requerida]]="","N",IF(TablaAsistidos[[#This Row],[Fecha requerida]]&lt;=DATE(2026,4,30),"S","N"))</f>
        <v>S</v>
      </c>
    </row>
    <row r="73" spans="2:21" ht="41.5" hidden="1" customHeight="1">
      <c r="B73" s="31">
        <v>70</v>
      </c>
      <c r="C73" s="69" t="s">
        <v>7</v>
      </c>
      <c r="D73" s="35" t="s">
        <v>35</v>
      </c>
      <c r="E73" s="70" t="s">
        <v>801</v>
      </c>
      <c r="F73" s="64" t="s">
        <v>578</v>
      </c>
      <c r="G73" s="31" t="s">
        <v>38</v>
      </c>
      <c r="H73" s="31" t="s">
        <v>757</v>
      </c>
      <c r="I73" s="31" t="s">
        <v>648</v>
      </c>
      <c r="J73" s="31" t="s">
        <v>41</v>
      </c>
      <c r="K73" s="31" t="s">
        <v>59</v>
      </c>
      <c r="L73" s="32">
        <v>46112</v>
      </c>
      <c r="M73" s="32"/>
      <c r="N73" s="32"/>
      <c r="O73" s="31"/>
      <c r="P73" s="31" t="s">
        <v>44</v>
      </c>
      <c r="Q73" s="58" t="b">
        <v>1</v>
      </c>
      <c r="R73" s="89" t="s">
        <v>179</v>
      </c>
      <c r="S73" s="31" t="s">
        <v>46</v>
      </c>
      <c r="T73" s="2"/>
      <c r="U73" s="2" t="str">
        <f>IF(TablaAsistidos[[#This Row],[Fecha requerida]]="","N",IF(TablaAsistidos[[#This Row],[Fecha requerida]]&lt;=DATE(2026,4,30),"S","N"))</f>
        <v>S</v>
      </c>
    </row>
    <row r="74" spans="2:21" ht="41.5" hidden="1" customHeight="1">
      <c r="B74" s="31">
        <v>71</v>
      </c>
      <c r="C74" s="69" t="s">
        <v>7</v>
      </c>
      <c r="D74" s="35" t="s">
        <v>35</v>
      </c>
      <c r="E74" s="70" t="s">
        <v>801</v>
      </c>
      <c r="F74" s="64" t="s">
        <v>578</v>
      </c>
      <c r="G74" s="31" t="s">
        <v>38</v>
      </c>
      <c r="H74" s="31" t="s">
        <v>758</v>
      </c>
      <c r="I74" s="31" t="s">
        <v>656</v>
      </c>
      <c r="J74" s="31" t="s">
        <v>41</v>
      </c>
      <c r="K74" s="31" t="s">
        <v>59</v>
      </c>
      <c r="L74" s="32">
        <v>46122</v>
      </c>
      <c r="M74" s="32"/>
      <c r="N74" s="32"/>
      <c r="O74" s="31"/>
      <c r="P74" s="31" t="s">
        <v>44</v>
      </c>
      <c r="Q74" s="58" t="b">
        <v>1</v>
      </c>
      <c r="R74" s="33" t="s">
        <v>103</v>
      </c>
      <c r="S74" s="31" t="s">
        <v>46</v>
      </c>
      <c r="T74" s="2"/>
      <c r="U74" s="2" t="str">
        <f>IF(TablaAsistidos[[#This Row],[Fecha requerida]]="","N",IF(TablaAsistidos[[#This Row],[Fecha requerida]]&lt;=DATE(2026,4,30),"S","N"))</f>
        <v>S</v>
      </c>
    </row>
    <row r="75" spans="2:21" ht="41.5" hidden="1" customHeight="1">
      <c r="B75" s="31">
        <v>72</v>
      </c>
      <c r="C75" s="69" t="s">
        <v>7</v>
      </c>
      <c r="D75" s="35" t="s">
        <v>35</v>
      </c>
      <c r="E75" s="70" t="s">
        <v>587</v>
      </c>
      <c r="F75" s="64" t="s">
        <v>578</v>
      </c>
      <c r="G75" s="31" t="s">
        <v>8</v>
      </c>
      <c r="H75" s="31" t="s">
        <v>803</v>
      </c>
      <c r="I75" s="31" t="s">
        <v>649</v>
      </c>
      <c r="J75" s="31" t="s">
        <v>41</v>
      </c>
      <c r="K75" s="31" t="s">
        <v>59</v>
      </c>
      <c r="L75" s="32">
        <v>46122</v>
      </c>
      <c r="M75" s="32"/>
      <c r="N75" s="32"/>
      <c r="O75" s="31"/>
      <c r="P75" s="31" t="s">
        <v>44</v>
      </c>
      <c r="Q75" s="58" t="b">
        <v>1</v>
      </c>
      <c r="R75" s="33" t="s">
        <v>103</v>
      </c>
      <c r="S75" s="31" t="s">
        <v>46</v>
      </c>
      <c r="T75" s="2"/>
      <c r="U75" s="2" t="str">
        <f>IF(TablaAsistidos[[#This Row],[Fecha requerida]]="","N",IF(TablaAsistidos[[#This Row],[Fecha requerida]]&lt;=DATE(2026,4,30),"S","N"))</f>
        <v>S</v>
      </c>
    </row>
    <row r="76" spans="2:21" ht="41.5" customHeight="1">
      <c r="B76" s="31">
        <v>73</v>
      </c>
      <c r="C76" s="69" t="s">
        <v>7</v>
      </c>
      <c r="D76" s="35" t="s">
        <v>35</v>
      </c>
      <c r="E76" s="70" t="s">
        <v>587</v>
      </c>
      <c r="F76" s="64" t="s">
        <v>578</v>
      </c>
      <c r="G76" s="31" t="s">
        <v>37</v>
      </c>
      <c r="H76" s="31" t="s">
        <v>588</v>
      </c>
      <c r="I76" s="31" t="s">
        <v>668</v>
      </c>
      <c r="J76" s="31" t="s">
        <v>41</v>
      </c>
      <c r="K76" s="31" t="s">
        <v>59</v>
      </c>
      <c r="L76" s="32">
        <v>46112</v>
      </c>
      <c r="M76" s="32"/>
      <c r="N76" s="32"/>
      <c r="O76" s="31"/>
      <c r="P76" s="31" t="s">
        <v>44</v>
      </c>
      <c r="Q76" s="58" t="b">
        <v>1</v>
      </c>
      <c r="R76" s="33" t="s">
        <v>169</v>
      </c>
      <c r="S76" s="31" t="s">
        <v>46</v>
      </c>
      <c r="T76" s="13"/>
      <c r="U76" s="2" t="str">
        <f>IF(TablaAsistidos[[#This Row],[Fecha requerida]]="","N",IF(TablaAsistidos[[#This Row],[Fecha requerida]]&lt;=DATE(2026,4,30),"S","N"))</f>
        <v>S</v>
      </c>
    </row>
    <row r="77" spans="2:21" ht="41.5" customHeight="1">
      <c r="B77" s="31">
        <v>74</v>
      </c>
      <c r="C77" s="69" t="s">
        <v>7</v>
      </c>
      <c r="D77" s="35" t="s">
        <v>35</v>
      </c>
      <c r="E77" s="70" t="s">
        <v>587</v>
      </c>
      <c r="F77" s="64" t="s">
        <v>578</v>
      </c>
      <c r="G77" s="31" t="s">
        <v>804</v>
      </c>
      <c r="H77" s="31" t="s">
        <v>805</v>
      </c>
      <c r="I77" s="31" t="s">
        <v>645</v>
      </c>
      <c r="J77" s="31" t="s">
        <v>41</v>
      </c>
      <c r="K77" s="31" t="s">
        <v>59</v>
      </c>
      <c r="L77" s="32">
        <v>46108</v>
      </c>
      <c r="M77" s="32"/>
      <c r="N77" s="32"/>
      <c r="O77" s="31"/>
      <c r="P77" s="31" t="s">
        <v>44</v>
      </c>
      <c r="Q77" s="58" t="b">
        <v>1</v>
      </c>
      <c r="R77" s="33" t="s">
        <v>103</v>
      </c>
      <c r="S77" s="31" t="s">
        <v>46</v>
      </c>
      <c r="T77" s="13"/>
      <c r="U77" s="2" t="str">
        <f>IF(TablaAsistidos[[#This Row],[Fecha requerida]]="","N",IF(TablaAsistidos[[#This Row],[Fecha requerida]]&lt;=DATE(2026,4,30),"S","N"))</f>
        <v>S</v>
      </c>
    </row>
    <row r="78" spans="2:21" ht="41.5" hidden="1" customHeight="1">
      <c r="B78" s="31">
        <v>75</v>
      </c>
      <c r="C78" s="69" t="s">
        <v>7</v>
      </c>
      <c r="D78" s="35" t="s">
        <v>35</v>
      </c>
      <c r="E78" s="70" t="s">
        <v>587</v>
      </c>
      <c r="F78" s="64" t="s">
        <v>578</v>
      </c>
      <c r="G78" s="31" t="s">
        <v>806</v>
      </c>
      <c r="H78" s="31" t="s">
        <v>807</v>
      </c>
      <c r="I78" s="31" t="s">
        <v>660</v>
      </c>
      <c r="J78" s="31" t="s">
        <v>41</v>
      </c>
      <c r="K78" s="31" t="s">
        <v>42</v>
      </c>
      <c r="L78" s="32">
        <v>46227</v>
      </c>
      <c r="M78" s="32"/>
      <c r="N78" s="32"/>
      <c r="O78" s="31"/>
      <c r="P78" s="31" t="s">
        <v>44</v>
      </c>
      <c r="Q78" s="58" t="b">
        <v>1</v>
      </c>
      <c r="R78" s="33" t="s">
        <v>103</v>
      </c>
      <c r="S78" s="31" t="s">
        <v>46</v>
      </c>
      <c r="T78" s="2"/>
      <c r="U78" s="2" t="str">
        <f>IF(TablaAsistidos[[#This Row],[Fecha requerida]]="","N",IF(TablaAsistidos[[#This Row],[Fecha requerida]]&lt;=DATE(2026,4,30),"S","N"))</f>
        <v>N</v>
      </c>
    </row>
    <row r="79" spans="2:21" ht="41.5" hidden="1" customHeight="1">
      <c r="B79" s="31">
        <v>76</v>
      </c>
      <c r="C79" s="69" t="s">
        <v>7</v>
      </c>
      <c r="D79" s="35" t="s">
        <v>35</v>
      </c>
      <c r="E79" s="70" t="s">
        <v>808</v>
      </c>
      <c r="F79" s="64" t="s">
        <v>578</v>
      </c>
      <c r="G79" s="31" t="s">
        <v>621</v>
      </c>
      <c r="H79" s="31" t="s">
        <v>809</v>
      </c>
      <c r="I79" s="31" t="s">
        <v>661</v>
      </c>
      <c r="J79" s="31" t="s">
        <v>41</v>
      </c>
      <c r="K79" s="31" t="s">
        <v>42</v>
      </c>
      <c r="L79" s="32">
        <v>46122</v>
      </c>
      <c r="M79" s="32"/>
      <c r="N79" s="32"/>
      <c r="O79" s="31"/>
      <c r="P79" s="31" t="s">
        <v>44</v>
      </c>
      <c r="Q79" s="58" t="b">
        <v>1</v>
      </c>
      <c r="R79" s="33" t="s">
        <v>103</v>
      </c>
      <c r="S79" s="31" t="s">
        <v>46</v>
      </c>
      <c r="T79" s="2"/>
      <c r="U79" s="2" t="str">
        <f>IF(TablaAsistidos[[#This Row],[Fecha requerida]]="","N",IF(TablaAsistidos[[#This Row],[Fecha requerida]]&lt;=DATE(2026,4,30),"S","N"))</f>
        <v>S</v>
      </c>
    </row>
    <row r="80" spans="2:21" ht="41.5" hidden="1" customHeight="1">
      <c r="B80" s="31">
        <v>77</v>
      </c>
      <c r="C80" s="69" t="s">
        <v>7</v>
      </c>
      <c r="D80" s="35" t="s">
        <v>35</v>
      </c>
      <c r="E80" s="70" t="s">
        <v>808</v>
      </c>
      <c r="F80" s="64" t="s">
        <v>578</v>
      </c>
      <c r="G80" s="31" t="s">
        <v>12</v>
      </c>
      <c r="H80" s="31" t="s">
        <v>714</v>
      </c>
      <c r="I80" s="31" t="s">
        <v>638</v>
      </c>
      <c r="J80" s="31" t="s">
        <v>41</v>
      </c>
      <c r="K80" s="31" t="s">
        <v>42</v>
      </c>
      <c r="L80" s="32">
        <v>46178</v>
      </c>
      <c r="M80" s="32"/>
      <c r="N80" s="32"/>
      <c r="O80" s="31"/>
      <c r="P80" s="31" t="s">
        <v>44</v>
      </c>
      <c r="Q80" s="58" t="b">
        <v>1</v>
      </c>
      <c r="R80" s="33" t="s">
        <v>103</v>
      </c>
      <c r="S80" s="31" t="s">
        <v>46</v>
      </c>
      <c r="T80" s="2"/>
      <c r="U80" s="2" t="str">
        <f>IF(TablaAsistidos[[#This Row],[Fecha requerida]]="","N",IF(TablaAsistidos[[#This Row],[Fecha requerida]]&lt;=DATE(2026,4,30),"S","N"))</f>
        <v>N</v>
      </c>
    </row>
    <row r="81" spans="1:21" ht="14.5" hidden="1" customHeight="1">
      <c r="B81" s="31">
        <v>78</v>
      </c>
      <c r="C81" s="69" t="s">
        <v>7</v>
      </c>
      <c r="D81" s="35" t="s">
        <v>35</v>
      </c>
      <c r="E81" s="70" t="s">
        <v>810</v>
      </c>
      <c r="F81" s="64" t="s">
        <v>578</v>
      </c>
      <c r="G81" s="31" t="s">
        <v>12</v>
      </c>
      <c r="H81" s="31" t="s">
        <v>714</v>
      </c>
      <c r="I81" s="31" t="s">
        <v>638</v>
      </c>
      <c r="J81" s="31" t="s">
        <v>41</v>
      </c>
      <c r="K81" s="31" t="s">
        <v>42</v>
      </c>
      <c r="L81" s="14">
        <v>46178</v>
      </c>
      <c r="M81" s="14"/>
      <c r="N81" s="32"/>
      <c r="O81" s="31"/>
      <c r="P81" s="31" t="s">
        <v>44</v>
      </c>
      <c r="Q81" s="58" t="b">
        <v>1</v>
      </c>
      <c r="R81" s="33" t="s">
        <v>103</v>
      </c>
      <c r="S81" s="31" t="s">
        <v>46</v>
      </c>
      <c r="T81" s="2"/>
      <c r="U81" s="2" t="str">
        <f>IF(TablaAsistidos[[#This Row],[Fecha requerida]]="","N",IF(TablaAsistidos[[#This Row],[Fecha requerida]]&lt;=DATE(2026,4,30),"S","N"))</f>
        <v>N</v>
      </c>
    </row>
    <row r="82" spans="1:21" ht="41.5" hidden="1" customHeight="1">
      <c r="B82" s="31">
        <v>79</v>
      </c>
      <c r="C82" s="69" t="s">
        <v>7</v>
      </c>
      <c r="D82" s="35" t="s">
        <v>35</v>
      </c>
      <c r="E82" s="70" t="s">
        <v>811</v>
      </c>
      <c r="F82" s="64" t="s">
        <v>578</v>
      </c>
      <c r="G82" s="31" t="s">
        <v>12</v>
      </c>
      <c r="H82" s="31" t="s">
        <v>714</v>
      </c>
      <c r="I82" s="31" t="s">
        <v>638</v>
      </c>
      <c r="J82" s="31" t="s">
        <v>41</v>
      </c>
      <c r="K82" s="31" t="s">
        <v>42</v>
      </c>
      <c r="L82" s="32">
        <v>46178</v>
      </c>
      <c r="M82" s="32"/>
      <c r="N82" s="32"/>
      <c r="O82" s="31"/>
      <c r="P82" s="31" t="s">
        <v>44</v>
      </c>
      <c r="Q82" s="58" t="b">
        <v>1</v>
      </c>
      <c r="R82" s="33" t="s">
        <v>103</v>
      </c>
      <c r="S82" s="72" t="s">
        <v>46</v>
      </c>
      <c r="T82" s="2"/>
      <c r="U82" s="2" t="str">
        <f>IF(TablaAsistidos[[#This Row],[Fecha requerida]]="","N",IF(TablaAsistidos[[#This Row],[Fecha requerida]]&lt;=DATE(2026,4,30),"S","N"))</f>
        <v>N</v>
      </c>
    </row>
    <row r="83" spans="1:21" ht="41.5" hidden="1" customHeight="1">
      <c r="B83" s="31">
        <v>80</v>
      </c>
      <c r="C83" s="69" t="s">
        <v>7</v>
      </c>
      <c r="D83" s="35" t="s">
        <v>35</v>
      </c>
      <c r="E83" s="70" t="s">
        <v>591</v>
      </c>
      <c r="F83" s="64" t="s">
        <v>578</v>
      </c>
      <c r="G83" s="31" t="s">
        <v>812</v>
      </c>
      <c r="H83" s="31" t="s">
        <v>593</v>
      </c>
      <c r="I83" s="31" t="s">
        <v>594</v>
      </c>
      <c r="J83" s="31" t="s">
        <v>41</v>
      </c>
      <c r="K83" s="31" t="s">
        <v>59</v>
      </c>
      <c r="L83" s="32">
        <v>46227</v>
      </c>
      <c r="M83" s="32"/>
      <c r="N83" s="32"/>
      <c r="O83" s="34"/>
      <c r="P83" s="31" t="s">
        <v>44</v>
      </c>
      <c r="Q83" s="58" t="b">
        <v>1</v>
      </c>
      <c r="R83" s="33" t="s">
        <v>103</v>
      </c>
      <c r="S83" s="72" t="s">
        <v>46</v>
      </c>
      <c r="T83" s="2"/>
      <c r="U83" s="2" t="str">
        <f>IF(TablaAsistidos[[#This Row],[Fecha requerida]]="","N",IF(TablaAsistidos[[#This Row],[Fecha requerida]]&lt;=DATE(2026,4,30),"S","N"))</f>
        <v>N</v>
      </c>
    </row>
    <row r="84" spans="1:21" ht="41.5" hidden="1" customHeight="1">
      <c r="B84" s="31">
        <v>81</v>
      </c>
      <c r="C84" s="69" t="s">
        <v>7</v>
      </c>
      <c r="D84" s="35" t="s">
        <v>35</v>
      </c>
      <c r="E84" s="70" t="s">
        <v>813</v>
      </c>
      <c r="F84" s="64" t="s">
        <v>578</v>
      </c>
      <c r="G84" s="31" t="s">
        <v>12</v>
      </c>
      <c r="H84" s="31" t="s">
        <v>814</v>
      </c>
      <c r="I84" s="31" t="s">
        <v>655</v>
      </c>
      <c r="J84" s="31" t="s">
        <v>12</v>
      </c>
      <c r="K84" s="31" t="s">
        <v>59</v>
      </c>
      <c r="L84" s="32">
        <v>46178</v>
      </c>
      <c r="M84" s="32"/>
      <c r="N84" s="32"/>
      <c r="O84" s="34"/>
      <c r="P84" s="31" t="s">
        <v>44</v>
      </c>
      <c r="Q84" s="58" t="b">
        <v>1</v>
      </c>
      <c r="R84" s="33" t="s">
        <v>103</v>
      </c>
      <c r="S84" s="72" t="s">
        <v>46</v>
      </c>
      <c r="T84" s="2"/>
      <c r="U84" s="2" t="str">
        <f>IF(TablaAsistidos[[#This Row],[Fecha requerida]]="","N",IF(TablaAsistidos[[#This Row],[Fecha requerida]]&lt;=DATE(2026,4,30),"S","N"))</f>
        <v>N</v>
      </c>
    </row>
    <row r="85" spans="1:21" ht="41.5" hidden="1" customHeight="1">
      <c r="B85" s="31">
        <v>82</v>
      </c>
      <c r="C85" s="69" t="s">
        <v>7</v>
      </c>
      <c r="D85" s="35" t="s">
        <v>35</v>
      </c>
      <c r="E85" s="70" t="s">
        <v>813</v>
      </c>
      <c r="F85" s="64" t="s">
        <v>578</v>
      </c>
      <c r="G85" s="31" t="s">
        <v>12</v>
      </c>
      <c r="H85" s="31" t="s">
        <v>814</v>
      </c>
      <c r="I85" s="31" t="s">
        <v>658</v>
      </c>
      <c r="J85" s="31" t="s">
        <v>12</v>
      </c>
      <c r="K85" s="31" t="s">
        <v>59</v>
      </c>
      <c r="L85" s="32">
        <v>46178</v>
      </c>
      <c r="M85" s="32"/>
      <c r="N85" s="32"/>
      <c r="O85" s="34"/>
      <c r="P85" s="31" t="s">
        <v>44</v>
      </c>
      <c r="Q85" s="58" t="b">
        <v>1</v>
      </c>
      <c r="R85" s="33" t="s">
        <v>103</v>
      </c>
      <c r="S85" s="72" t="s">
        <v>46</v>
      </c>
      <c r="T85" s="2"/>
      <c r="U85" s="2" t="str">
        <f>IF(TablaAsistidos[[#This Row],[Fecha requerida]]="","N",IF(TablaAsistidos[[#This Row],[Fecha requerida]]&lt;=DATE(2026,4,30),"S","N"))</f>
        <v>N</v>
      </c>
    </row>
    <row r="86" spans="1:21" ht="41.5" hidden="1" customHeight="1">
      <c r="B86" s="31">
        <v>83</v>
      </c>
      <c r="C86" s="69" t="s">
        <v>7</v>
      </c>
      <c r="D86" s="35" t="s">
        <v>35</v>
      </c>
      <c r="E86" s="70" t="s">
        <v>813</v>
      </c>
      <c r="F86" s="64" t="s">
        <v>578</v>
      </c>
      <c r="G86" s="31" t="s">
        <v>317</v>
      </c>
      <c r="H86" s="31" t="s">
        <v>483</v>
      </c>
      <c r="I86" s="31" t="s">
        <v>636</v>
      </c>
      <c r="J86" s="31" t="s">
        <v>41</v>
      </c>
      <c r="K86" s="31" t="s">
        <v>59</v>
      </c>
      <c r="L86" s="32">
        <v>46118</v>
      </c>
      <c r="M86" s="32"/>
      <c r="N86" s="32"/>
      <c r="O86" s="34"/>
      <c r="P86" s="31" t="s">
        <v>44</v>
      </c>
      <c r="Q86" s="58" t="b">
        <v>1</v>
      </c>
      <c r="R86" s="33" t="s">
        <v>103</v>
      </c>
      <c r="S86" s="72" t="s">
        <v>46</v>
      </c>
      <c r="T86" s="2"/>
      <c r="U86" s="2" t="str">
        <f>IF(TablaAsistidos[[#This Row],[Fecha requerida]]="","N",IF(TablaAsistidos[[#This Row],[Fecha requerida]]&lt;=DATE(2026,4,30),"S","N"))</f>
        <v>S</v>
      </c>
    </row>
    <row r="87" spans="1:21" ht="41.5" hidden="1" customHeight="1">
      <c r="B87" s="31">
        <v>84</v>
      </c>
      <c r="C87" s="69" t="s">
        <v>7</v>
      </c>
      <c r="D87" s="92" t="s">
        <v>35</v>
      </c>
      <c r="E87" s="82" t="s">
        <v>815</v>
      </c>
      <c r="F87" s="85" t="s">
        <v>578</v>
      </c>
      <c r="G87" s="84" t="s">
        <v>816</v>
      </c>
      <c r="H87" s="84" t="s">
        <v>817</v>
      </c>
      <c r="I87" s="84" t="s">
        <v>671</v>
      </c>
      <c r="J87" s="84" t="s">
        <v>41</v>
      </c>
      <c r="K87" s="84" t="s">
        <v>42</v>
      </c>
      <c r="L87" s="86">
        <v>46227</v>
      </c>
      <c r="M87" s="86"/>
      <c r="N87" s="86"/>
      <c r="O87" s="84"/>
      <c r="P87" s="84" t="s">
        <v>44</v>
      </c>
      <c r="Q87" s="58" t="b">
        <v>1</v>
      </c>
      <c r="R87" s="33" t="s">
        <v>103</v>
      </c>
      <c r="S87" s="72" t="s">
        <v>46</v>
      </c>
      <c r="T87" s="2"/>
      <c r="U87" s="2" t="str">
        <f>IF(TablaAsistidos[[#This Row],[Fecha requerida]]="","N",IF(TablaAsistidos[[#This Row],[Fecha requerida]]&lt;=DATE(2026,4,30),"S","N"))</f>
        <v>N</v>
      </c>
    </row>
    <row r="88" spans="1:21" ht="41.5" hidden="1" customHeight="1">
      <c r="B88" s="31">
        <v>85</v>
      </c>
      <c r="C88" s="69" t="s">
        <v>7</v>
      </c>
      <c r="D88" s="92" t="s">
        <v>35</v>
      </c>
      <c r="E88" s="82" t="s">
        <v>815</v>
      </c>
      <c r="F88" s="85" t="s">
        <v>578</v>
      </c>
      <c r="G88" s="84" t="s">
        <v>818</v>
      </c>
      <c r="H88" s="84" t="s">
        <v>819</v>
      </c>
      <c r="I88" s="84" t="s">
        <v>672</v>
      </c>
      <c r="J88" s="84" t="s">
        <v>41</v>
      </c>
      <c r="K88" s="84" t="s">
        <v>42</v>
      </c>
      <c r="L88" s="86">
        <v>46227</v>
      </c>
      <c r="M88" s="86"/>
      <c r="N88" s="86"/>
      <c r="O88" s="84"/>
      <c r="P88" s="84" t="s">
        <v>44</v>
      </c>
      <c r="Q88" s="58" t="b">
        <v>1</v>
      </c>
      <c r="R88" s="33" t="s">
        <v>103</v>
      </c>
      <c r="S88" s="72" t="s">
        <v>46</v>
      </c>
      <c r="T88" s="2"/>
      <c r="U88" s="2" t="str">
        <f>IF(TablaAsistidos[[#This Row],[Fecha requerida]]="","N",IF(TablaAsistidos[[#This Row],[Fecha requerida]]&lt;=DATE(2026,4,30),"S","N"))</f>
        <v>N</v>
      </c>
    </row>
    <row r="89" spans="1:21" s="90" customFormat="1" ht="41.5" hidden="1" customHeight="1">
      <c r="B89" s="31">
        <v>86</v>
      </c>
      <c r="C89" s="69" t="s">
        <v>7</v>
      </c>
      <c r="D89" s="35" t="s">
        <v>35</v>
      </c>
      <c r="E89" s="70" t="s">
        <v>820</v>
      </c>
      <c r="F89" s="64" t="s">
        <v>578</v>
      </c>
      <c r="G89" s="31" t="s">
        <v>12</v>
      </c>
      <c r="H89" s="31" t="s">
        <v>714</v>
      </c>
      <c r="I89" s="31" t="s">
        <v>638</v>
      </c>
      <c r="J89" s="31" t="s">
        <v>41</v>
      </c>
      <c r="K89" s="31" t="s">
        <v>42</v>
      </c>
      <c r="L89" s="32">
        <v>46142</v>
      </c>
      <c r="M89" s="32"/>
      <c r="N89" s="32"/>
      <c r="O89" s="31"/>
      <c r="P89" s="31" t="s">
        <v>44</v>
      </c>
      <c r="Q89" s="58" t="b">
        <v>1</v>
      </c>
      <c r="R89" s="33" t="s">
        <v>103</v>
      </c>
      <c r="S89" s="72" t="s">
        <v>46</v>
      </c>
      <c r="T89" s="170"/>
      <c r="U89" s="2" t="str">
        <f>IF(TablaAsistidos[[#This Row],[Fecha requerida]]="","N",IF(TablaAsistidos[[#This Row],[Fecha requerida]]&lt;=DATE(2026,4,30),"S","N"))</f>
        <v>S</v>
      </c>
    </row>
    <row r="90" spans="1:21" ht="41.5" hidden="1" customHeight="1">
      <c r="B90" s="31">
        <v>87</v>
      </c>
      <c r="C90" s="69" t="s">
        <v>7</v>
      </c>
      <c r="D90" s="92" t="s">
        <v>35</v>
      </c>
      <c r="E90" s="82" t="s">
        <v>821</v>
      </c>
      <c r="F90" s="85" t="s">
        <v>578</v>
      </c>
      <c r="G90" s="84" t="s">
        <v>621</v>
      </c>
      <c r="H90" s="84" t="s">
        <v>822</v>
      </c>
      <c r="I90" s="84" t="s">
        <v>661</v>
      </c>
      <c r="J90" s="84" t="s">
        <v>41</v>
      </c>
      <c r="K90" s="84" t="s">
        <v>42</v>
      </c>
      <c r="L90" s="86">
        <v>46227</v>
      </c>
      <c r="M90" s="86"/>
      <c r="N90" s="86"/>
      <c r="O90" s="84"/>
      <c r="P90" s="84" t="s">
        <v>44</v>
      </c>
      <c r="Q90" s="58" t="b">
        <v>1</v>
      </c>
      <c r="R90" s="33" t="s">
        <v>103</v>
      </c>
      <c r="S90" s="72" t="s">
        <v>46</v>
      </c>
      <c r="T90" s="2"/>
      <c r="U90" s="2" t="str">
        <f>IF(TablaAsistidos[[#This Row],[Fecha requerida]]="","N",IF(TablaAsistidos[[#This Row],[Fecha requerida]]&lt;=DATE(2026,4,30),"S","N"))</f>
        <v>N</v>
      </c>
    </row>
    <row r="91" spans="1:21" s="127" customFormat="1" ht="41.5" hidden="1" customHeight="1">
      <c r="A91" s="127" t="s">
        <v>823</v>
      </c>
      <c r="B91" s="31">
        <v>88</v>
      </c>
      <c r="C91" s="129" t="s">
        <v>7</v>
      </c>
      <c r="D91" s="35" t="s">
        <v>35</v>
      </c>
      <c r="E91" s="70" t="s">
        <v>824</v>
      </c>
      <c r="F91" s="64" t="s">
        <v>578</v>
      </c>
      <c r="G91" s="31" t="s">
        <v>508</v>
      </c>
      <c r="H91" s="31" t="s">
        <v>825</v>
      </c>
      <c r="I91" s="31" t="s">
        <v>663</v>
      </c>
      <c r="J91" s="31" t="s">
        <v>41</v>
      </c>
      <c r="K91" s="31" t="s">
        <v>42</v>
      </c>
      <c r="L91" s="32">
        <v>46199</v>
      </c>
      <c r="M91" s="32"/>
      <c r="N91" s="32"/>
      <c r="O91" s="31"/>
      <c r="P91" s="31" t="s">
        <v>44</v>
      </c>
      <c r="Q91" s="58" t="b">
        <v>1</v>
      </c>
      <c r="R91" s="33" t="s">
        <v>103</v>
      </c>
      <c r="S91" s="72"/>
      <c r="T91" s="169"/>
      <c r="U91" s="2" t="str">
        <f>IF(TablaAsistidos[[#This Row],[Fecha requerida]]="","N",IF(TablaAsistidos[[#This Row],[Fecha requerida]]&lt;=DATE(2026,4,30),"S","N"))</f>
        <v>N</v>
      </c>
    </row>
    <row r="92" spans="1:21" ht="41.5" hidden="1" customHeight="1">
      <c r="B92" s="31">
        <v>89</v>
      </c>
      <c r="C92" s="69" t="s">
        <v>7</v>
      </c>
      <c r="D92" s="35" t="s">
        <v>35</v>
      </c>
      <c r="E92" s="70" t="s">
        <v>826</v>
      </c>
      <c r="F92" s="64" t="s">
        <v>37</v>
      </c>
      <c r="G92" s="31" t="s">
        <v>583</v>
      </c>
      <c r="H92" s="31" t="s">
        <v>827</v>
      </c>
      <c r="I92" s="31" t="s">
        <v>598</v>
      </c>
      <c r="J92" s="31" t="s">
        <v>267</v>
      </c>
      <c r="K92" s="31" t="s">
        <v>59</v>
      </c>
      <c r="L92" s="32">
        <v>46185</v>
      </c>
      <c r="M92" s="32"/>
      <c r="N92" s="151" t="s">
        <v>43</v>
      </c>
      <c r="O92" s="31"/>
      <c r="P92" s="31" t="s">
        <v>44</v>
      </c>
      <c r="Q92" s="58" t="b">
        <v>1</v>
      </c>
      <c r="R92" s="33" t="s">
        <v>103</v>
      </c>
      <c r="S92" s="72" t="s">
        <v>46</v>
      </c>
      <c r="T92" s="2"/>
      <c r="U92" s="2" t="str">
        <f>IF(TablaAsistidos[[#This Row],[Fecha requerida]]="","N",IF(TablaAsistidos[[#This Row],[Fecha requerida]]&lt;=DATE(2026,4,30),"S","N"))</f>
        <v>N</v>
      </c>
    </row>
    <row r="93" spans="1:21" ht="41.5" hidden="1" customHeight="1">
      <c r="B93" s="31">
        <v>90</v>
      </c>
      <c r="C93" s="69" t="s">
        <v>7</v>
      </c>
      <c r="D93" s="76" t="s">
        <v>35</v>
      </c>
      <c r="E93" s="77" t="s">
        <v>828</v>
      </c>
      <c r="F93" s="68" t="s">
        <v>37</v>
      </c>
      <c r="G93" s="78" t="s">
        <v>583</v>
      </c>
      <c r="H93" s="78" t="s">
        <v>829</v>
      </c>
      <c r="I93" s="78" t="s">
        <v>604</v>
      </c>
      <c r="J93" s="78" t="s">
        <v>267</v>
      </c>
      <c r="K93" s="78" t="s">
        <v>59</v>
      </c>
      <c r="L93" s="79">
        <v>46104</v>
      </c>
      <c r="M93" s="79">
        <v>46122</v>
      </c>
      <c r="N93" s="238" t="s">
        <v>43</v>
      </c>
      <c r="O93" s="78"/>
      <c r="P93" s="78" t="s">
        <v>44</v>
      </c>
      <c r="Q93" s="58" t="b">
        <v>1</v>
      </c>
      <c r="R93" s="33" t="s">
        <v>169</v>
      </c>
      <c r="S93" s="81" t="s">
        <v>46</v>
      </c>
      <c r="T93" s="2"/>
      <c r="U93" s="2" t="str">
        <f>IF(TablaAsistidos[[#This Row],[Fecha requerida]]="","N",IF(TablaAsistidos[[#This Row],[Fecha requerida]]&lt;=DATE(2026,4,30),"S","N"))</f>
        <v>S</v>
      </c>
    </row>
    <row r="94" spans="1:21" ht="41.5" hidden="1" customHeight="1">
      <c r="B94" s="31">
        <v>91</v>
      </c>
      <c r="C94" s="69" t="s">
        <v>7</v>
      </c>
      <c r="D94" s="35" t="s">
        <v>35</v>
      </c>
      <c r="E94" s="70" t="s">
        <v>830</v>
      </c>
      <c r="F94" s="64" t="s">
        <v>578</v>
      </c>
      <c r="G94" s="31" t="s">
        <v>15</v>
      </c>
      <c r="H94" s="31" t="s">
        <v>9</v>
      </c>
      <c r="I94" s="31" t="s">
        <v>667</v>
      </c>
      <c r="J94" s="31" t="s">
        <v>41</v>
      </c>
      <c r="K94" s="31" t="s">
        <v>42</v>
      </c>
      <c r="L94" s="32">
        <v>46122</v>
      </c>
      <c r="M94" s="32"/>
      <c r="N94" s="32"/>
      <c r="O94" s="31"/>
      <c r="P94" s="31" t="s">
        <v>44</v>
      </c>
      <c r="Q94" s="58" t="b">
        <v>1</v>
      </c>
      <c r="R94" s="33" t="s">
        <v>103</v>
      </c>
      <c r="S94" s="72" t="s">
        <v>46</v>
      </c>
      <c r="T94" s="2"/>
      <c r="U94" s="2" t="str">
        <f>IF(TablaAsistidos[[#This Row],[Fecha requerida]]="","N",IF(TablaAsistidos[[#This Row],[Fecha requerida]]&lt;=DATE(2026,4,30),"S","N"))</f>
        <v>S</v>
      </c>
    </row>
    <row r="95" spans="1:21" ht="41.5" hidden="1" customHeight="1">
      <c r="B95" s="31">
        <v>92</v>
      </c>
      <c r="C95" s="69" t="s">
        <v>7</v>
      </c>
      <c r="D95" s="35" t="s">
        <v>35</v>
      </c>
      <c r="E95" s="70" t="s">
        <v>831</v>
      </c>
      <c r="F95" s="64" t="s">
        <v>578</v>
      </c>
      <c r="G95" s="31" t="s">
        <v>15</v>
      </c>
      <c r="H95" s="31" t="s">
        <v>9</v>
      </c>
      <c r="I95" s="31" t="s">
        <v>667</v>
      </c>
      <c r="J95" s="31" t="s">
        <v>41</v>
      </c>
      <c r="K95" s="31" t="s">
        <v>42</v>
      </c>
      <c r="L95" s="32">
        <v>46122</v>
      </c>
      <c r="M95" s="32"/>
      <c r="N95" s="32"/>
      <c r="O95" s="31"/>
      <c r="P95" s="31" t="s">
        <v>44</v>
      </c>
      <c r="Q95" s="58" t="b">
        <v>1</v>
      </c>
      <c r="R95" s="33" t="s">
        <v>103</v>
      </c>
      <c r="S95" s="72" t="s">
        <v>46</v>
      </c>
      <c r="T95" s="2"/>
      <c r="U95" s="2" t="str">
        <f>IF(TablaAsistidos[[#This Row],[Fecha requerida]]="","N",IF(TablaAsistidos[[#This Row],[Fecha requerida]]&lt;=DATE(2026,4,30),"S","N"))</f>
        <v>S</v>
      </c>
    </row>
    <row r="96" spans="1:21" ht="41.5" hidden="1" customHeight="1">
      <c r="B96" s="31">
        <v>93</v>
      </c>
      <c r="C96" s="69" t="s">
        <v>7</v>
      </c>
      <c r="D96" s="35" t="s">
        <v>35</v>
      </c>
      <c r="E96" s="70" t="s">
        <v>832</v>
      </c>
      <c r="F96" s="64" t="s">
        <v>578</v>
      </c>
      <c r="G96" s="31" t="s">
        <v>508</v>
      </c>
      <c r="H96" s="31" t="s">
        <v>825</v>
      </c>
      <c r="I96" s="31" t="s">
        <v>663</v>
      </c>
      <c r="J96" s="31" t="s">
        <v>41</v>
      </c>
      <c r="K96" s="31" t="s">
        <v>42</v>
      </c>
      <c r="L96" s="32">
        <v>46199</v>
      </c>
      <c r="M96" s="32"/>
      <c r="N96" s="32"/>
      <c r="O96" s="31"/>
      <c r="P96" s="31" t="s">
        <v>44</v>
      </c>
      <c r="Q96" s="58" t="b">
        <v>1</v>
      </c>
      <c r="R96" s="33" t="s">
        <v>103</v>
      </c>
      <c r="S96" s="72" t="s">
        <v>46</v>
      </c>
      <c r="T96" s="2"/>
      <c r="U96" s="2" t="str">
        <f>IF(TablaAsistidos[[#This Row],[Fecha requerida]]="","N",IF(TablaAsistidos[[#This Row],[Fecha requerida]]&lt;=DATE(2026,4,30),"S","N"))</f>
        <v>N</v>
      </c>
    </row>
    <row r="97" spans="2:21" ht="41.5" hidden="1" customHeight="1">
      <c r="B97" s="31">
        <v>94</v>
      </c>
      <c r="C97" s="69" t="s">
        <v>7</v>
      </c>
      <c r="D97" s="35" t="s">
        <v>35</v>
      </c>
      <c r="E97" s="69" t="s">
        <v>833</v>
      </c>
      <c r="F97" s="64" t="s">
        <v>37</v>
      </c>
      <c r="G97" s="31" t="s">
        <v>38</v>
      </c>
      <c r="H97" s="31" t="s">
        <v>39</v>
      </c>
      <c r="I97" s="31" t="s">
        <v>40</v>
      </c>
      <c r="J97" s="31" t="s">
        <v>41</v>
      </c>
      <c r="K97" s="31" t="s">
        <v>42</v>
      </c>
      <c r="L97" s="32">
        <v>46204</v>
      </c>
      <c r="M97" s="32"/>
      <c r="N97" s="151" t="s">
        <v>43</v>
      </c>
      <c r="O97" s="34"/>
      <c r="P97" s="31" t="s">
        <v>44</v>
      </c>
      <c r="Q97" s="58" t="b">
        <v>1</v>
      </c>
      <c r="R97" s="89" t="s">
        <v>179</v>
      </c>
      <c r="S97" s="72" t="s">
        <v>46</v>
      </c>
      <c r="T97" s="2"/>
      <c r="U97" s="2" t="str">
        <f>IF(TablaAsistidos[[#This Row],[Fecha requerida]]="","N",IF(TablaAsistidos[[#This Row],[Fecha requerida]]&lt;=DATE(2026,4,30),"S","N"))</f>
        <v>N</v>
      </c>
    </row>
    <row r="98" spans="2:21" ht="41.5" hidden="1" customHeight="1">
      <c r="B98" s="31">
        <v>95</v>
      </c>
      <c r="C98" s="69" t="s">
        <v>7</v>
      </c>
      <c r="D98" s="35" t="s">
        <v>35</v>
      </c>
      <c r="E98" s="69" t="s">
        <v>833</v>
      </c>
      <c r="F98" s="64" t="s">
        <v>37</v>
      </c>
      <c r="G98" s="31" t="s">
        <v>15</v>
      </c>
      <c r="H98" s="31" t="s">
        <v>66</v>
      </c>
      <c r="I98" s="31" t="s">
        <v>71</v>
      </c>
      <c r="J98" s="31" t="s">
        <v>41</v>
      </c>
      <c r="K98" s="31" t="s">
        <v>42</v>
      </c>
      <c r="L98" s="32">
        <v>46104</v>
      </c>
      <c r="M98" s="32"/>
      <c r="N98" s="151" t="s">
        <v>43</v>
      </c>
      <c r="O98" s="31"/>
      <c r="P98" s="31" t="s">
        <v>44</v>
      </c>
      <c r="Q98" s="58" t="b">
        <v>1</v>
      </c>
      <c r="R98" s="89" t="s">
        <v>179</v>
      </c>
      <c r="S98" s="72" t="s">
        <v>46</v>
      </c>
      <c r="T98" s="2"/>
      <c r="U98" s="2" t="str">
        <f>IF(TablaAsistidos[[#This Row],[Fecha requerida]]="","N",IF(TablaAsistidos[[#This Row],[Fecha requerida]]&lt;=DATE(2026,4,30),"S","N"))</f>
        <v>S</v>
      </c>
    </row>
    <row r="99" spans="2:21" ht="41.5" hidden="1" customHeight="1">
      <c r="B99" s="31">
        <v>96</v>
      </c>
      <c r="C99" s="69" t="s">
        <v>7</v>
      </c>
      <c r="D99" s="35" t="s">
        <v>35</v>
      </c>
      <c r="E99" s="69" t="s">
        <v>834</v>
      </c>
      <c r="F99" s="64" t="s">
        <v>37</v>
      </c>
      <c r="G99" s="31" t="s">
        <v>38</v>
      </c>
      <c r="H99" s="31" t="s">
        <v>39</v>
      </c>
      <c r="I99" s="31" t="s">
        <v>40</v>
      </c>
      <c r="J99" s="31" t="s">
        <v>41</v>
      </c>
      <c r="K99" s="31" t="s">
        <v>42</v>
      </c>
      <c r="L99" s="32">
        <v>46204</v>
      </c>
      <c r="M99" s="32"/>
      <c r="N99" s="151" t="s">
        <v>43</v>
      </c>
      <c r="O99" s="34"/>
      <c r="P99" s="31" t="s">
        <v>44</v>
      </c>
      <c r="Q99" s="58" t="b">
        <v>1</v>
      </c>
      <c r="R99" s="89" t="s">
        <v>179</v>
      </c>
      <c r="S99" s="72" t="s">
        <v>46</v>
      </c>
      <c r="T99" s="2"/>
      <c r="U99" s="2" t="str">
        <f>IF(TablaAsistidos[[#This Row],[Fecha requerida]]="","N",IF(TablaAsistidos[[#This Row],[Fecha requerida]]&lt;=DATE(2026,4,30),"S","N"))</f>
        <v>N</v>
      </c>
    </row>
    <row r="100" spans="2:21" ht="41.5" hidden="1" customHeight="1">
      <c r="B100" s="31">
        <v>97</v>
      </c>
      <c r="C100" s="69" t="s">
        <v>7</v>
      </c>
      <c r="D100" s="35" t="s">
        <v>35</v>
      </c>
      <c r="E100" s="69" t="s">
        <v>834</v>
      </c>
      <c r="F100" s="64" t="s">
        <v>37</v>
      </c>
      <c r="G100" s="31" t="s">
        <v>8</v>
      </c>
      <c r="H100" s="31" t="s">
        <v>73</v>
      </c>
      <c r="I100" s="31" t="s">
        <v>74</v>
      </c>
      <c r="J100" s="31" t="s">
        <v>41</v>
      </c>
      <c r="K100" s="31" t="s">
        <v>42</v>
      </c>
      <c r="L100" s="32">
        <v>46204</v>
      </c>
      <c r="M100" s="32"/>
      <c r="N100" s="151" t="s">
        <v>43</v>
      </c>
      <c r="O100" s="34"/>
      <c r="P100" s="31" t="s">
        <v>44</v>
      </c>
      <c r="Q100" s="58" t="b">
        <v>1</v>
      </c>
      <c r="R100" s="89" t="s">
        <v>179</v>
      </c>
      <c r="S100" s="72" t="s">
        <v>46</v>
      </c>
      <c r="T100" s="2"/>
      <c r="U100" s="2" t="str">
        <f>IF(TablaAsistidos[[#This Row],[Fecha requerida]]="","N",IF(TablaAsistidos[[#This Row],[Fecha requerida]]&lt;=DATE(2026,4,30),"S","N"))</f>
        <v>N</v>
      </c>
    </row>
    <row r="101" spans="2:21" ht="41.5" hidden="1" customHeight="1">
      <c r="B101" s="31">
        <v>98</v>
      </c>
      <c r="C101" s="69" t="s">
        <v>7</v>
      </c>
      <c r="D101" s="35" t="s">
        <v>35</v>
      </c>
      <c r="E101" s="69" t="s">
        <v>834</v>
      </c>
      <c r="F101" s="64" t="s">
        <v>37</v>
      </c>
      <c r="G101" s="31" t="s">
        <v>15</v>
      </c>
      <c r="H101" s="31" t="s">
        <v>66</v>
      </c>
      <c r="I101" s="31" t="s">
        <v>71</v>
      </c>
      <c r="J101" s="31" t="s">
        <v>41</v>
      </c>
      <c r="K101" s="31" t="s">
        <v>42</v>
      </c>
      <c r="L101" s="32">
        <v>46104</v>
      </c>
      <c r="M101" s="32"/>
      <c r="N101" s="151" t="s">
        <v>43</v>
      </c>
      <c r="O101" s="31"/>
      <c r="P101" s="31" t="s">
        <v>44</v>
      </c>
      <c r="Q101" s="58" t="b">
        <v>1</v>
      </c>
      <c r="R101" s="89" t="s">
        <v>179</v>
      </c>
      <c r="S101" s="72" t="s">
        <v>46</v>
      </c>
      <c r="T101" s="2"/>
      <c r="U101" s="2" t="str">
        <f>IF(TablaAsistidos[[#This Row],[Fecha requerida]]="","N",IF(TablaAsistidos[[#This Row],[Fecha requerida]]&lt;=DATE(2026,4,30),"S","N"))</f>
        <v>S</v>
      </c>
    </row>
    <row r="102" spans="2:21" ht="41.5" hidden="1" customHeight="1">
      <c r="B102" s="31">
        <v>99</v>
      </c>
      <c r="C102" s="69" t="s">
        <v>7</v>
      </c>
      <c r="D102" s="35" t="s">
        <v>35</v>
      </c>
      <c r="E102" s="69" t="s">
        <v>833</v>
      </c>
      <c r="F102" s="64" t="s">
        <v>37</v>
      </c>
      <c r="G102" s="31" t="s">
        <v>5</v>
      </c>
      <c r="H102" s="31" t="s">
        <v>39</v>
      </c>
      <c r="I102" s="31" t="s">
        <v>40</v>
      </c>
      <c r="J102" s="31" t="s">
        <v>41</v>
      </c>
      <c r="K102" s="31" t="s">
        <v>42</v>
      </c>
      <c r="L102" s="32">
        <v>46204</v>
      </c>
      <c r="M102" s="32"/>
      <c r="N102" s="151" t="s">
        <v>43</v>
      </c>
      <c r="O102" s="34"/>
      <c r="P102" s="31" t="s">
        <v>44</v>
      </c>
      <c r="Q102" s="58" t="b">
        <v>1</v>
      </c>
      <c r="R102" s="134" t="s">
        <v>91</v>
      </c>
      <c r="S102" s="72" t="s">
        <v>46</v>
      </c>
      <c r="T102" s="2"/>
      <c r="U102" s="2" t="str">
        <f>IF(TablaAsistidos[[#This Row],[Fecha requerida]]="","N",IF(TablaAsistidos[[#This Row],[Fecha requerida]]&lt;=DATE(2026,4,30),"S","N"))</f>
        <v>N</v>
      </c>
    </row>
    <row r="103" spans="2:21" ht="41.5" hidden="1" customHeight="1">
      <c r="B103" s="31">
        <v>100</v>
      </c>
      <c r="C103" s="69" t="s">
        <v>7</v>
      </c>
      <c r="D103" s="35" t="s">
        <v>35</v>
      </c>
      <c r="E103" s="69" t="s">
        <v>834</v>
      </c>
      <c r="F103" s="64" t="s">
        <v>37</v>
      </c>
      <c r="G103" s="31" t="s">
        <v>5</v>
      </c>
      <c r="H103" s="31" t="s">
        <v>39</v>
      </c>
      <c r="I103" s="31" t="s">
        <v>40</v>
      </c>
      <c r="J103" s="31" t="s">
        <v>41</v>
      </c>
      <c r="K103" s="31" t="s">
        <v>42</v>
      </c>
      <c r="L103" s="32">
        <v>46204</v>
      </c>
      <c r="M103" s="32"/>
      <c r="N103" s="151" t="s">
        <v>43</v>
      </c>
      <c r="O103" s="34"/>
      <c r="P103" s="31" t="s">
        <v>44</v>
      </c>
      <c r="Q103" s="58" t="b">
        <v>1</v>
      </c>
      <c r="R103" s="134" t="s">
        <v>91</v>
      </c>
      <c r="S103" s="72" t="s">
        <v>46</v>
      </c>
      <c r="T103" s="2"/>
      <c r="U103" s="2" t="str">
        <f>IF(TablaAsistidos[[#This Row],[Fecha requerida]]="","N",IF(TablaAsistidos[[#This Row],[Fecha requerida]]&lt;=DATE(2026,4,30),"S","N"))</f>
        <v>N</v>
      </c>
    </row>
    <row r="104" spans="2:21" ht="41.5" hidden="1" customHeight="1">
      <c r="B104" s="31">
        <v>101</v>
      </c>
      <c r="C104" s="69" t="s">
        <v>7</v>
      </c>
      <c r="D104" s="35" t="s">
        <v>35</v>
      </c>
      <c r="E104" s="69" t="s">
        <v>835</v>
      </c>
      <c r="F104" s="64" t="s">
        <v>37</v>
      </c>
      <c r="G104" s="31" t="s">
        <v>5</v>
      </c>
      <c r="H104" s="31" t="s">
        <v>39</v>
      </c>
      <c r="I104" s="31" t="s">
        <v>40</v>
      </c>
      <c r="J104" s="31" t="s">
        <v>41</v>
      </c>
      <c r="K104" s="31" t="s">
        <v>42</v>
      </c>
      <c r="L104" s="32">
        <v>46204</v>
      </c>
      <c r="M104" s="32"/>
      <c r="N104" s="151" t="s">
        <v>43</v>
      </c>
      <c r="O104" s="34"/>
      <c r="P104" s="31" t="s">
        <v>44</v>
      </c>
      <c r="Q104" s="58" t="b">
        <v>1</v>
      </c>
      <c r="R104" s="134" t="s">
        <v>91</v>
      </c>
      <c r="S104" s="72" t="s">
        <v>46</v>
      </c>
      <c r="T104" s="2"/>
      <c r="U104" s="2" t="str">
        <f>IF(TablaAsistidos[[#This Row],[Fecha requerida]]="","N",IF(TablaAsistidos[[#This Row],[Fecha requerida]]&lt;=DATE(2026,4,30),"S","N"))</f>
        <v>N</v>
      </c>
    </row>
    <row r="105" spans="2:21" ht="41.5" hidden="1" customHeight="1">
      <c r="B105" s="31">
        <v>102</v>
      </c>
      <c r="C105" s="69" t="s">
        <v>7</v>
      </c>
      <c r="D105" s="35" t="s">
        <v>35</v>
      </c>
      <c r="E105" s="69" t="s">
        <v>836</v>
      </c>
      <c r="F105" s="64" t="s">
        <v>37</v>
      </c>
      <c r="G105" s="31" t="s">
        <v>5</v>
      </c>
      <c r="H105" s="31" t="s">
        <v>39</v>
      </c>
      <c r="I105" s="31" t="s">
        <v>40</v>
      </c>
      <c r="J105" s="31" t="s">
        <v>41</v>
      </c>
      <c r="K105" s="31" t="s">
        <v>42</v>
      </c>
      <c r="L105" s="32">
        <v>46204</v>
      </c>
      <c r="M105" s="32"/>
      <c r="N105" s="151" t="s">
        <v>43</v>
      </c>
      <c r="O105" s="34"/>
      <c r="P105" s="31" t="s">
        <v>44</v>
      </c>
      <c r="Q105" s="58" t="b">
        <v>1</v>
      </c>
      <c r="R105" s="134" t="s">
        <v>91</v>
      </c>
      <c r="S105" s="72" t="s">
        <v>46</v>
      </c>
      <c r="T105" s="2"/>
      <c r="U105" s="2" t="str">
        <f>IF(TablaAsistidos[[#This Row],[Fecha requerida]]="","N",IF(TablaAsistidos[[#This Row],[Fecha requerida]]&lt;=DATE(2026,4,30),"S","N"))</f>
        <v>N</v>
      </c>
    </row>
    <row r="106" spans="2:21" ht="41.5" hidden="1" customHeight="1">
      <c r="B106" s="31">
        <v>103</v>
      </c>
      <c r="C106" s="69" t="s">
        <v>7</v>
      </c>
      <c r="D106" s="35" t="s">
        <v>35</v>
      </c>
      <c r="E106" s="69" t="s">
        <v>837</v>
      </c>
      <c r="F106" s="64" t="s">
        <v>37</v>
      </c>
      <c r="G106" s="31" t="s">
        <v>5</v>
      </c>
      <c r="H106" s="31" t="s">
        <v>39</v>
      </c>
      <c r="I106" s="31" t="s">
        <v>40</v>
      </c>
      <c r="J106" s="31" t="s">
        <v>41</v>
      </c>
      <c r="K106" s="31" t="s">
        <v>42</v>
      </c>
      <c r="L106" s="32">
        <v>46204</v>
      </c>
      <c r="M106" s="32"/>
      <c r="N106" s="151" t="s">
        <v>43</v>
      </c>
      <c r="O106" s="34"/>
      <c r="P106" s="31" t="s">
        <v>44</v>
      </c>
      <c r="Q106" s="58" t="b">
        <v>1</v>
      </c>
      <c r="R106" s="134" t="s">
        <v>91</v>
      </c>
      <c r="S106" s="72" t="s">
        <v>46</v>
      </c>
      <c r="T106" s="2"/>
      <c r="U106" s="2" t="str">
        <f>IF(TablaAsistidos[[#This Row],[Fecha requerida]]="","N",IF(TablaAsistidos[[#This Row],[Fecha requerida]]&lt;=DATE(2026,4,30),"S","N"))</f>
        <v>N</v>
      </c>
    </row>
    <row r="107" spans="2:21" ht="41.5" hidden="1" customHeight="1">
      <c r="B107" s="31">
        <v>104</v>
      </c>
      <c r="C107" s="69" t="s">
        <v>7</v>
      </c>
      <c r="D107" s="35" t="s">
        <v>35</v>
      </c>
      <c r="E107" s="69" t="s">
        <v>835</v>
      </c>
      <c r="F107" s="64" t="s">
        <v>37</v>
      </c>
      <c r="G107" s="31" t="s">
        <v>38</v>
      </c>
      <c r="H107" s="31" t="s">
        <v>39</v>
      </c>
      <c r="I107" s="31" t="s">
        <v>40</v>
      </c>
      <c r="J107" s="31" t="s">
        <v>41</v>
      </c>
      <c r="K107" s="31" t="s">
        <v>42</v>
      </c>
      <c r="L107" s="32">
        <v>46204</v>
      </c>
      <c r="M107" s="32"/>
      <c r="N107" s="151" t="s">
        <v>43</v>
      </c>
      <c r="O107" s="34"/>
      <c r="P107" s="31" t="s">
        <v>44</v>
      </c>
      <c r="Q107" s="58" t="b">
        <v>1</v>
      </c>
      <c r="R107" s="89" t="s">
        <v>179</v>
      </c>
      <c r="S107" s="72" t="s">
        <v>46</v>
      </c>
      <c r="T107" s="2"/>
      <c r="U107" s="2" t="str">
        <f>IF(TablaAsistidos[[#This Row],[Fecha requerida]]="","N",IF(TablaAsistidos[[#This Row],[Fecha requerida]]&lt;=DATE(2026,4,30),"S","N"))</f>
        <v>N</v>
      </c>
    </row>
    <row r="108" spans="2:21" ht="41.5" hidden="1" customHeight="1">
      <c r="B108" s="31">
        <v>105</v>
      </c>
      <c r="C108" s="69" t="s">
        <v>7</v>
      </c>
      <c r="D108" s="35" t="s">
        <v>35</v>
      </c>
      <c r="E108" s="69" t="s">
        <v>835</v>
      </c>
      <c r="F108" s="64" t="s">
        <v>37</v>
      </c>
      <c r="G108" s="31" t="s">
        <v>8</v>
      </c>
      <c r="H108" s="31" t="s">
        <v>73</v>
      </c>
      <c r="I108" s="31" t="s">
        <v>74</v>
      </c>
      <c r="J108" s="31" t="s">
        <v>41</v>
      </c>
      <c r="K108" s="31" t="s">
        <v>42</v>
      </c>
      <c r="L108" s="32">
        <v>46204</v>
      </c>
      <c r="M108" s="32"/>
      <c r="N108" s="151" t="s">
        <v>43</v>
      </c>
      <c r="O108" s="34"/>
      <c r="P108" s="31" t="s">
        <v>44</v>
      </c>
      <c r="Q108" s="58" t="b">
        <v>1</v>
      </c>
      <c r="R108" s="89" t="s">
        <v>179</v>
      </c>
      <c r="S108" s="72" t="s">
        <v>46</v>
      </c>
      <c r="T108" s="2"/>
      <c r="U108" s="2" t="str">
        <f>IF(TablaAsistidos[[#This Row],[Fecha requerida]]="","N",IF(TablaAsistidos[[#This Row],[Fecha requerida]]&lt;=DATE(2026,4,30),"S","N"))</f>
        <v>N</v>
      </c>
    </row>
    <row r="109" spans="2:21" ht="41.5" hidden="1" customHeight="1">
      <c r="B109" s="31">
        <v>106</v>
      </c>
      <c r="C109" s="69" t="s">
        <v>7</v>
      </c>
      <c r="D109" s="35" t="s">
        <v>35</v>
      </c>
      <c r="E109" s="69" t="s">
        <v>835</v>
      </c>
      <c r="F109" s="64" t="s">
        <v>37</v>
      </c>
      <c r="G109" s="31" t="s">
        <v>15</v>
      </c>
      <c r="H109" s="31" t="s">
        <v>66</v>
      </c>
      <c r="I109" s="31" t="s">
        <v>71</v>
      </c>
      <c r="J109" s="31" t="s">
        <v>41</v>
      </c>
      <c r="K109" s="31" t="s">
        <v>42</v>
      </c>
      <c r="L109" s="32">
        <v>46104</v>
      </c>
      <c r="M109" s="32"/>
      <c r="N109" s="151" t="s">
        <v>43</v>
      </c>
      <c r="O109" s="31"/>
      <c r="P109" s="31" t="s">
        <v>44</v>
      </c>
      <c r="Q109" s="58" t="b">
        <v>1</v>
      </c>
      <c r="R109" s="89" t="s">
        <v>179</v>
      </c>
      <c r="S109" s="72" t="s">
        <v>46</v>
      </c>
      <c r="T109" s="2"/>
      <c r="U109" s="2" t="str">
        <f>IF(TablaAsistidos[[#This Row],[Fecha requerida]]="","N",IF(TablaAsistidos[[#This Row],[Fecha requerida]]&lt;=DATE(2026,4,30),"S","N"))</f>
        <v>S</v>
      </c>
    </row>
    <row r="110" spans="2:21" ht="41.5" hidden="1" customHeight="1">
      <c r="B110" s="31">
        <v>107</v>
      </c>
      <c r="C110" s="69" t="s">
        <v>7</v>
      </c>
      <c r="D110" s="35" t="s">
        <v>35</v>
      </c>
      <c r="E110" s="69" t="s">
        <v>836</v>
      </c>
      <c r="F110" s="64" t="s">
        <v>37</v>
      </c>
      <c r="G110" s="31" t="s">
        <v>38</v>
      </c>
      <c r="H110" s="31" t="s">
        <v>39</v>
      </c>
      <c r="I110" s="31" t="s">
        <v>40</v>
      </c>
      <c r="J110" s="31" t="s">
        <v>41</v>
      </c>
      <c r="K110" s="31" t="s">
        <v>42</v>
      </c>
      <c r="L110" s="32">
        <v>46204</v>
      </c>
      <c r="M110" s="32"/>
      <c r="N110" s="151" t="s">
        <v>43</v>
      </c>
      <c r="O110" s="34"/>
      <c r="P110" s="31" t="s">
        <v>44</v>
      </c>
      <c r="Q110" s="58" t="b">
        <v>1</v>
      </c>
      <c r="R110" s="89" t="s">
        <v>179</v>
      </c>
      <c r="S110" s="72" t="s">
        <v>46</v>
      </c>
      <c r="T110" s="2"/>
      <c r="U110" s="2" t="str">
        <f>IF(TablaAsistidos[[#This Row],[Fecha requerida]]="","N",IF(TablaAsistidos[[#This Row],[Fecha requerida]]&lt;=DATE(2026,4,30),"S","N"))</f>
        <v>N</v>
      </c>
    </row>
    <row r="111" spans="2:21" ht="41.5" hidden="1" customHeight="1">
      <c r="B111" s="31">
        <v>108</v>
      </c>
      <c r="C111" s="69" t="s">
        <v>7</v>
      </c>
      <c r="D111" s="35" t="s">
        <v>35</v>
      </c>
      <c r="E111" s="69" t="s">
        <v>834</v>
      </c>
      <c r="F111" s="64" t="s">
        <v>37</v>
      </c>
      <c r="G111" s="31" t="s">
        <v>5</v>
      </c>
      <c r="H111" s="31" t="s">
        <v>73</v>
      </c>
      <c r="I111" s="31" t="s">
        <v>74</v>
      </c>
      <c r="J111" s="31" t="s">
        <v>41</v>
      </c>
      <c r="K111" s="31" t="s">
        <v>42</v>
      </c>
      <c r="L111" s="32">
        <v>46204</v>
      </c>
      <c r="M111" s="32"/>
      <c r="N111" s="151" t="s">
        <v>43</v>
      </c>
      <c r="O111" s="34"/>
      <c r="P111" s="31" t="s">
        <v>44</v>
      </c>
      <c r="Q111" s="58" t="b">
        <v>1</v>
      </c>
      <c r="R111" s="134" t="s">
        <v>91</v>
      </c>
      <c r="S111" s="72" t="s">
        <v>46</v>
      </c>
      <c r="T111" s="2"/>
      <c r="U111" s="2" t="str">
        <f>IF(TablaAsistidos[[#This Row],[Fecha requerida]]="","N",IF(TablaAsistidos[[#This Row],[Fecha requerida]]&lt;=DATE(2026,4,30),"S","N"))</f>
        <v>N</v>
      </c>
    </row>
    <row r="112" spans="2:21" ht="41.5" hidden="1" customHeight="1">
      <c r="B112" s="31">
        <v>109</v>
      </c>
      <c r="C112" s="69" t="s">
        <v>7</v>
      </c>
      <c r="D112" s="35" t="s">
        <v>35</v>
      </c>
      <c r="E112" s="69" t="s">
        <v>835</v>
      </c>
      <c r="F112" s="64" t="s">
        <v>37</v>
      </c>
      <c r="G112" s="31" t="s">
        <v>5</v>
      </c>
      <c r="H112" s="31" t="s">
        <v>73</v>
      </c>
      <c r="I112" s="31" t="s">
        <v>74</v>
      </c>
      <c r="J112" s="31" t="s">
        <v>41</v>
      </c>
      <c r="K112" s="31" t="s">
        <v>42</v>
      </c>
      <c r="L112" s="32">
        <v>46204</v>
      </c>
      <c r="M112" s="32"/>
      <c r="N112" s="151" t="s">
        <v>43</v>
      </c>
      <c r="O112" s="34"/>
      <c r="P112" s="31" t="s">
        <v>44</v>
      </c>
      <c r="Q112" s="58" t="b">
        <v>1</v>
      </c>
      <c r="R112" s="134" t="s">
        <v>91</v>
      </c>
      <c r="S112" s="72" t="s">
        <v>46</v>
      </c>
      <c r="T112" s="2"/>
      <c r="U112" s="2" t="str">
        <f>IF(TablaAsistidos[[#This Row],[Fecha requerida]]="","N",IF(TablaAsistidos[[#This Row],[Fecha requerida]]&lt;=DATE(2026,4,30),"S","N"))</f>
        <v>N</v>
      </c>
    </row>
    <row r="113" spans="1:21" ht="41.5" hidden="1" customHeight="1">
      <c r="B113" s="31">
        <v>110</v>
      </c>
      <c r="C113" s="69" t="s">
        <v>7</v>
      </c>
      <c r="D113" s="35" t="s">
        <v>35</v>
      </c>
      <c r="E113" s="69" t="s">
        <v>837</v>
      </c>
      <c r="F113" s="64" t="s">
        <v>37</v>
      </c>
      <c r="G113" s="31" t="s">
        <v>5</v>
      </c>
      <c r="H113" s="31" t="s">
        <v>73</v>
      </c>
      <c r="I113" s="31" t="s">
        <v>74</v>
      </c>
      <c r="J113" s="31" t="s">
        <v>41</v>
      </c>
      <c r="K113" s="31" t="s">
        <v>42</v>
      </c>
      <c r="L113" s="32">
        <v>46204</v>
      </c>
      <c r="M113" s="32"/>
      <c r="N113" s="151" t="s">
        <v>43</v>
      </c>
      <c r="O113" s="34"/>
      <c r="P113" s="31" t="s">
        <v>44</v>
      </c>
      <c r="Q113" s="58" t="b">
        <v>1</v>
      </c>
      <c r="R113" s="134" t="s">
        <v>91</v>
      </c>
      <c r="S113" s="72" t="s">
        <v>46</v>
      </c>
      <c r="T113" s="2"/>
      <c r="U113" s="2" t="str">
        <f>IF(TablaAsistidos[[#This Row],[Fecha requerida]]="","N",IF(TablaAsistidos[[#This Row],[Fecha requerida]]&lt;=DATE(2026,4,30),"S","N"))</f>
        <v>N</v>
      </c>
    </row>
    <row r="114" spans="1:21" ht="41.5" hidden="1" customHeight="1">
      <c r="B114" s="31">
        <v>111</v>
      </c>
      <c r="C114" s="69" t="s">
        <v>7</v>
      </c>
      <c r="D114" s="35" t="s">
        <v>35</v>
      </c>
      <c r="E114" s="69" t="s">
        <v>837</v>
      </c>
      <c r="F114" s="64" t="s">
        <v>37</v>
      </c>
      <c r="G114" s="31" t="s">
        <v>8</v>
      </c>
      <c r="H114" s="31" t="s">
        <v>73</v>
      </c>
      <c r="I114" s="31" t="s">
        <v>74</v>
      </c>
      <c r="J114" s="31" t="s">
        <v>41</v>
      </c>
      <c r="K114" s="31" t="s">
        <v>42</v>
      </c>
      <c r="L114" s="32">
        <v>46204</v>
      </c>
      <c r="M114" s="32"/>
      <c r="N114" s="151" t="s">
        <v>43</v>
      </c>
      <c r="O114" s="34"/>
      <c r="P114" s="31" t="s">
        <v>44</v>
      </c>
      <c r="Q114" s="58" t="b">
        <v>1</v>
      </c>
      <c r="R114" s="89" t="s">
        <v>179</v>
      </c>
      <c r="S114" s="72" t="s">
        <v>46</v>
      </c>
      <c r="T114" s="2"/>
      <c r="U114" s="2" t="str">
        <f>IF(TablaAsistidos[[#This Row],[Fecha requerida]]="","N",IF(TablaAsistidos[[#This Row],[Fecha requerida]]&lt;=DATE(2026,4,30),"S","N"))</f>
        <v>N</v>
      </c>
    </row>
    <row r="115" spans="1:21" ht="41.5" hidden="1" customHeight="1">
      <c r="B115" s="31">
        <v>112</v>
      </c>
      <c r="C115" s="69" t="s">
        <v>7</v>
      </c>
      <c r="D115" s="35" t="s">
        <v>35</v>
      </c>
      <c r="E115" s="69" t="s">
        <v>837</v>
      </c>
      <c r="F115" s="64" t="s">
        <v>37</v>
      </c>
      <c r="G115" s="31" t="s">
        <v>15</v>
      </c>
      <c r="H115" s="31" t="s">
        <v>66</v>
      </c>
      <c r="I115" s="31" t="s">
        <v>71</v>
      </c>
      <c r="J115" s="31" t="s">
        <v>41</v>
      </c>
      <c r="K115" s="31" t="s">
        <v>42</v>
      </c>
      <c r="L115" s="32">
        <v>46104</v>
      </c>
      <c r="M115" s="32"/>
      <c r="N115" s="151" t="s">
        <v>43</v>
      </c>
      <c r="O115" s="31"/>
      <c r="P115" s="31" t="s">
        <v>44</v>
      </c>
      <c r="Q115" s="58" t="b">
        <v>1</v>
      </c>
      <c r="R115" s="89" t="s">
        <v>179</v>
      </c>
      <c r="S115" s="72" t="s">
        <v>46</v>
      </c>
      <c r="T115" s="2"/>
      <c r="U115" s="2" t="str">
        <f>IF(TablaAsistidos[[#This Row],[Fecha requerida]]="","N",IF(TablaAsistidos[[#This Row],[Fecha requerida]]&lt;=DATE(2026,4,30),"S","N"))</f>
        <v>S</v>
      </c>
    </row>
    <row r="116" spans="1:21" s="168" customFormat="1" ht="41.5" hidden="1" customHeight="1">
      <c r="B116" s="31">
        <v>113</v>
      </c>
      <c r="C116" s="136" t="s">
        <v>7</v>
      </c>
      <c r="D116" s="162" t="s">
        <v>35</v>
      </c>
      <c r="E116" s="136" t="s">
        <v>837</v>
      </c>
      <c r="F116" s="163" t="s">
        <v>37</v>
      </c>
      <c r="G116" s="164" t="s">
        <v>51</v>
      </c>
      <c r="H116" s="164" t="s">
        <v>838</v>
      </c>
      <c r="I116" s="164" t="s">
        <v>53</v>
      </c>
      <c r="J116" s="164" t="s">
        <v>41</v>
      </c>
      <c r="K116" s="164" t="s">
        <v>42</v>
      </c>
      <c r="L116" s="165">
        <v>46204</v>
      </c>
      <c r="M116" s="165"/>
      <c r="N116" s="165">
        <v>46310</v>
      </c>
      <c r="O116" s="166"/>
      <c r="P116" s="164" t="s">
        <v>44</v>
      </c>
      <c r="Q116" s="58" t="b">
        <v>1</v>
      </c>
      <c r="R116" s="134" t="s">
        <v>91</v>
      </c>
      <c r="S116" s="167" t="s">
        <v>46</v>
      </c>
      <c r="T116" s="150"/>
      <c r="U116" s="2" t="str">
        <f>IF(TablaAsistidos[[#This Row],[Fecha requerida]]="","N",IF(TablaAsistidos[[#This Row],[Fecha requerida]]&lt;=DATE(2026,4,30),"S","N"))</f>
        <v>N</v>
      </c>
    </row>
    <row r="117" spans="1:21" ht="41.5" hidden="1" customHeight="1">
      <c r="B117" s="31">
        <v>114</v>
      </c>
      <c r="C117" s="69" t="s">
        <v>7</v>
      </c>
      <c r="D117" s="35" t="s">
        <v>35</v>
      </c>
      <c r="E117" s="69" t="s">
        <v>837</v>
      </c>
      <c r="F117" s="64" t="s">
        <v>37</v>
      </c>
      <c r="G117" s="31" t="s">
        <v>38</v>
      </c>
      <c r="H117" s="31" t="s">
        <v>39</v>
      </c>
      <c r="I117" s="31" t="s">
        <v>40</v>
      </c>
      <c r="J117" s="31" t="s">
        <v>41</v>
      </c>
      <c r="K117" s="31" t="s">
        <v>42</v>
      </c>
      <c r="L117" s="32">
        <v>46204</v>
      </c>
      <c r="M117" s="32"/>
      <c r="N117" s="151" t="s">
        <v>43</v>
      </c>
      <c r="O117" s="34"/>
      <c r="P117" s="31" t="s">
        <v>44</v>
      </c>
      <c r="Q117" s="58" t="b">
        <v>1</v>
      </c>
      <c r="R117" s="89" t="s">
        <v>179</v>
      </c>
      <c r="S117" s="72" t="s">
        <v>46</v>
      </c>
      <c r="T117" s="2"/>
      <c r="U117" s="2" t="str">
        <f>IF(TablaAsistidos[[#This Row],[Fecha requerida]]="","N",IF(TablaAsistidos[[#This Row],[Fecha requerida]]&lt;=DATE(2026,4,30),"S","N"))</f>
        <v>N</v>
      </c>
    </row>
    <row r="118" spans="1:21" ht="41.5" customHeight="1">
      <c r="B118" s="31">
        <v>115</v>
      </c>
      <c r="C118" s="69" t="s">
        <v>7</v>
      </c>
      <c r="D118" s="35" t="s">
        <v>35</v>
      </c>
      <c r="E118" s="70" t="s">
        <v>839</v>
      </c>
      <c r="F118" s="64" t="s">
        <v>578</v>
      </c>
      <c r="G118" s="31" t="s">
        <v>583</v>
      </c>
      <c r="H118" s="31" t="s">
        <v>840</v>
      </c>
      <c r="I118" s="31" t="s">
        <v>640</v>
      </c>
      <c r="J118" s="31" t="s">
        <v>267</v>
      </c>
      <c r="K118" s="31" t="s">
        <v>59</v>
      </c>
      <c r="L118" s="32">
        <v>46112</v>
      </c>
      <c r="M118" s="32"/>
      <c r="N118" s="32"/>
      <c r="O118" s="31"/>
      <c r="P118" s="31" t="s">
        <v>44</v>
      </c>
      <c r="Q118" s="58" t="b">
        <v>1</v>
      </c>
      <c r="R118" s="33" t="s">
        <v>179</v>
      </c>
      <c r="S118" s="72" t="s">
        <v>46</v>
      </c>
      <c r="T118" s="13" t="s">
        <v>841</v>
      </c>
      <c r="U118" s="2" t="str">
        <f>IF(TablaAsistidos[[#This Row],[Fecha requerida]]="","N",IF(TablaAsistidos[[#This Row],[Fecha requerida]]&lt;=DATE(2026,4,30),"S","N"))</f>
        <v>S</v>
      </c>
    </row>
    <row r="119" spans="1:21" ht="41.5" customHeight="1">
      <c r="B119" s="31">
        <v>116</v>
      </c>
      <c r="C119" s="69" t="s">
        <v>7</v>
      </c>
      <c r="D119" s="35" t="s">
        <v>35</v>
      </c>
      <c r="E119" s="70" t="s">
        <v>842</v>
      </c>
      <c r="F119" s="64" t="s">
        <v>578</v>
      </c>
      <c r="G119" s="31" t="s">
        <v>583</v>
      </c>
      <c r="H119" s="31" t="s">
        <v>840</v>
      </c>
      <c r="I119" s="31" t="s">
        <v>639</v>
      </c>
      <c r="J119" s="31" t="s">
        <v>267</v>
      </c>
      <c r="K119" s="31" t="s">
        <v>59</v>
      </c>
      <c r="L119" s="32">
        <v>46112</v>
      </c>
      <c r="M119" s="32"/>
      <c r="N119" s="32"/>
      <c r="O119" s="31"/>
      <c r="P119" s="31" t="s">
        <v>44</v>
      </c>
      <c r="Q119" s="58" t="b">
        <v>1</v>
      </c>
      <c r="R119" s="33" t="s">
        <v>103</v>
      </c>
      <c r="S119" s="72" t="s">
        <v>46</v>
      </c>
      <c r="T119" s="13"/>
      <c r="U119" s="2" t="str">
        <f>IF(TablaAsistidos[[#This Row],[Fecha requerida]]="","N",IF(TablaAsistidos[[#This Row],[Fecha requerida]]&lt;=DATE(2026,4,30),"S","N"))</f>
        <v>S</v>
      </c>
    </row>
    <row r="120" spans="1:21" s="168" customFormat="1" ht="41.5" hidden="1" customHeight="1">
      <c r="B120" s="31">
        <v>117</v>
      </c>
      <c r="C120" s="136" t="s">
        <v>7</v>
      </c>
      <c r="D120" s="162" t="s">
        <v>35</v>
      </c>
      <c r="E120" s="136" t="s">
        <v>843</v>
      </c>
      <c r="F120" s="163" t="s">
        <v>37</v>
      </c>
      <c r="G120" s="164" t="s">
        <v>51</v>
      </c>
      <c r="H120" s="164" t="s">
        <v>838</v>
      </c>
      <c r="I120" s="164" t="s">
        <v>53</v>
      </c>
      <c r="J120" s="164" t="s">
        <v>41</v>
      </c>
      <c r="K120" s="164" t="s">
        <v>42</v>
      </c>
      <c r="L120" s="165">
        <v>46204</v>
      </c>
      <c r="M120" s="165"/>
      <c r="N120" s="165">
        <v>46310</v>
      </c>
      <c r="O120" s="166"/>
      <c r="P120" s="164" t="s">
        <v>44</v>
      </c>
      <c r="Q120" s="58" t="b">
        <v>1</v>
      </c>
      <c r="R120" s="134" t="s">
        <v>91</v>
      </c>
      <c r="S120" s="167" t="s">
        <v>46</v>
      </c>
      <c r="T120" s="150"/>
      <c r="U120" s="2" t="str">
        <f>IF(TablaAsistidos[[#This Row],[Fecha requerida]]="","N",IF(TablaAsistidos[[#This Row],[Fecha requerida]]&lt;=DATE(2026,4,30),"S","N"))</f>
        <v>N</v>
      </c>
    </row>
    <row r="121" spans="1:21" ht="41.5" hidden="1" customHeight="1">
      <c r="B121" s="31">
        <v>118</v>
      </c>
      <c r="C121" s="69" t="s">
        <v>7</v>
      </c>
      <c r="D121" s="35" t="s">
        <v>35</v>
      </c>
      <c r="E121" s="70" t="s">
        <v>844</v>
      </c>
      <c r="F121" s="31" t="s">
        <v>578</v>
      </c>
      <c r="G121" s="31" t="s">
        <v>583</v>
      </c>
      <c r="H121" s="31" t="s">
        <v>584</v>
      </c>
      <c r="I121" s="31" t="s">
        <v>643</v>
      </c>
      <c r="J121" s="31" t="s">
        <v>267</v>
      </c>
      <c r="K121" s="31" t="s">
        <v>59</v>
      </c>
      <c r="L121" s="32">
        <v>46112</v>
      </c>
      <c r="M121" s="32"/>
      <c r="N121" s="32"/>
      <c r="O121" s="31"/>
      <c r="P121" s="31" t="s">
        <v>44</v>
      </c>
      <c r="Q121" s="58" t="b">
        <v>1</v>
      </c>
      <c r="R121" s="89" t="s">
        <v>179</v>
      </c>
      <c r="S121" s="72" t="s">
        <v>46</v>
      </c>
      <c r="T121" s="2"/>
      <c r="U121" s="2" t="str">
        <f>IF(TablaAsistidos[[#This Row],[Fecha requerida]]="","N",IF(TablaAsistidos[[#This Row],[Fecha requerida]]&lt;=DATE(2026,4,30),"S","N"))</f>
        <v>S</v>
      </c>
    </row>
    <row r="122" spans="1:21" ht="41.5" hidden="1" customHeight="1">
      <c r="B122" s="31">
        <v>119</v>
      </c>
      <c r="C122" s="69" t="s">
        <v>7</v>
      </c>
      <c r="D122" s="35" t="s">
        <v>35</v>
      </c>
      <c r="E122" s="70" t="s">
        <v>582</v>
      </c>
      <c r="F122" s="31" t="s">
        <v>578</v>
      </c>
      <c r="G122" s="31" t="s">
        <v>583</v>
      </c>
      <c r="H122" s="31" t="s">
        <v>584</v>
      </c>
      <c r="I122" s="31" t="s">
        <v>585</v>
      </c>
      <c r="J122" s="31" t="s">
        <v>267</v>
      </c>
      <c r="K122" s="31" t="s">
        <v>59</v>
      </c>
      <c r="L122" s="32">
        <v>46112</v>
      </c>
      <c r="M122" s="32"/>
      <c r="N122" s="32"/>
      <c r="O122" s="31"/>
      <c r="P122" s="31" t="s">
        <v>44</v>
      </c>
      <c r="Q122" s="58" t="b">
        <v>1</v>
      </c>
      <c r="R122" s="89" t="s">
        <v>179</v>
      </c>
      <c r="S122" s="72" t="s">
        <v>46</v>
      </c>
      <c r="T122" s="2"/>
      <c r="U122" s="2" t="str">
        <f>IF(TablaAsistidos[[#This Row],[Fecha requerida]]="","N",IF(TablaAsistidos[[#This Row],[Fecha requerida]]&lt;=DATE(2026,4,30),"S","N"))</f>
        <v>S</v>
      </c>
    </row>
    <row r="123" spans="1:21" ht="41.5" hidden="1" customHeight="1">
      <c r="B123" s="31">
        <v>120</v>
      </c>
      <c r="C123" s="69" t="s">
        <v>7</v>
      </c>
      <c r="D123" s="35" t="s">
        <v>35</v>
      </c>
      <c r="E123" s="70" t="s">
        <v>845</v>
      </c>
      <c r="F123" s="31" t="s">
        <v>578</v>
      </c>
      <c r="G123" s="31" t="s">
        <v>583</v>
      </c>
      <c r="H123" s="31" t="s">
        <v>767</v>
      </c>
      <c r="I123" s="31" t="s">
        <v>642</v>
      </c>
      <c r="J123" s="31" t="s">
        <v>267</v>
      </c>
      <c r="K123" s="31" t="s">
        <v>59</v>
      </c>
      <c r="L123" s="32">
        <v>46112</v>
      </c>
      <c r="M123" s="32"/>
      <c r="N123" s="32"/>
      <c r="O123" s="31"/>
      <c r="P123" s="31" t="s">
        <v>44</v>
      </c>
      <c r="Q123" s="58" t="b">
        <v>1</v>
      </c>
      <c r="R123" s="89" t="s">
        <v>179</v>
      </c>
      <c r="S123" s="72" t="s">
        <v>46</v>
      </c>
      <c r="T123" s="2"/>
      <c r="U123" s="2" t="str">
        <f>IF(TablaAsistidos[[#This Row],[Fecha requerida]]="","N",IF(TablaAsistidos[[#This Row],[Fecha requerida]]&lt;=DATE(2026,4,30),"S","N"))</f>
        <v>S</v>
      </c>
    </row>
    <row r="124" spans="1:21" ht="41.5" hidden="1" customHeight="1">
      <c r="B124" s="31">
        <v>121</v>
      </c>
      <c r="C124" s="69" t="s">
        <v>7</v>
      </c>
      <c r="D124" s="35" t="s">
        <v>35</v>
      </c>
      <c r="E124" s="70" t="s">
        <v>846</v>
      </c>
      <c r="F124" s="64" t="s">
        <v>578</v>
      </c>
      <c r="G124" s="31" t="s">
        <v>583</v>
      </c>
      <c r="H124" s="31" t="s">
        <v>847</v>
      </c>
      <c r="I124" s="31" t="s">
        <v>650</v>
      </c>
      <c r="J124" s="31" t="s">
        <v>41</v>
      </c>
      <c r="K124" s="31" t="s">
        <v>59</v>
      </c>
      <c r="L124" s="32">
        <v>46241</v>
      </c>
      <c r="M124" s="32"/>
      <c r="N124" s="32"/>
      <c r="O124" s="31"/>
      <c r="P124" s="31" t="s">
        <v>44</v>
      </c>
      <c r="Q124" s="58" t="b">
        <v>1</v>
      </c>
      <c r="R124" s="33" t="s">
        <v>179</v>
      </c>
      <c r="S124" s="72" t="s">
        <v>46</v>
      </c>
      <c r="T124" s="2"/>
      <c r="U124" s="2" t="str">
        <f>IF(TablaAsistidos[[#This Row],[Fecha requerida]]="","N",IF(TablaAsistidos[[#This Row],[Fecha requerida]]&lt;=DATE(2026,4,30),"S","N"))</f>
        <v>N</v>
      </c>
    </row>
    <row r="125" spans="1:21" ht="14.5" hidden="1" customHeight="1">
      <c r="B125" s="31">
        <v>122</v>
      </c>
      <c r="C125" s="69" t="s">
        <v>7</v>
      </c>
      <c r="D125" s="35" t="s">
        <v>35</v>
      </c>
      <c r="E125" s="70" t="s">
        <v>577</v>
      </c>
      <c r="F125" s="31" t="s">
        <v>578</v>
      </c>
      <c r="G125" s="31" t="s">
        <v>5</v>
      </c>
      <c r="H125" s="31" t="s">
        <v>579</v>
      </c>
      <c r="I125" s="31" t="s">
        <v>580</v>
      </c>
      <c r="J125" s="31" t="s">
        <v>267</v>
      </c>
      <c r="K125" s="31" t="s">
        <v>59</v>
      </c>
      <c r="L125" s="32">
        <v>46199</v>
      </c>
      <c r="M125" s="32"/>
      <c r="N125" s="32"/>
      <c r="O125" s="31"/>
      <c r="P125" s="31" t="s">
        <v>44</v>
      </c>
      <c r="Q125" s="58" t="b">
        <v>1</v>
      </c>
      <c r="R125" s="33" t="s">
        <v>103</v>
      </c>
      <c r="S125" s="31" t="s">
        <v>46</v>
      </c>
      <c r="T125" s="2"/>
      <c r="U125" s="2" t="str">
        <f>IF(TablaAsistidos[[#This Row],[Fecha requerida]]="","N",IF(TablaAsistidos[[#This Row],[Fecha requerida]]&lt;=DATE(2026,4,30),"S","N"))</f>
        <v>N</v>
      </c>
    </row>
    <row r="126" spans="1:21" ht="14.5" hidden="1" customHeight="1">
      <c r="B126" s="31">
        <v>123</v>
      </c>
      <c r="C126" s="69" t="s">
        <v>7</v>
      </c>
      <c r="D126" s="35" t="s">
        <v>35</v>
      </c>
      <c r="E126" s="70" t="s">
        <v>848</v>
      </c>
      <c r="F126" s="31" t="s">
        <v>578</v>
      </c>
      <c r="G126" s="31" t="s">
        <v>5</v>
      </c>
      <c r="H126" s="31" t="s">
        <v>579</v>
      </c>
      <c r="I126" s="31" t="s">
        <v>641</v>
      </c>
      <c r="J126" s="31" t="s">
        <v>267</v>
      </c>
      <c r="K126" s="31" t="s">
        <v>59</v>
      </c>
      <c r="L126" s="32">
        <v>46199</v>
      </c>
      <c r="M126" s="32"/>
      <c r="N126" s="32"/>
      <c r="O126" s="31"/>
      <c r="P126" s="31" t="s">
        <v>44</v>
      </c>
      <c r="Q126" s="58" t="b">
        <v>1</v>
      </c>
      <c r="R126" s="33" t="s">
        <v>103</v>
      </c>
      <c r="S126" s="31" t="s">
        <v>46</v>
      </c>
      <c r="T126" s="2"/>
      <c r="U126" s="2" t="str">
        <f>IF(TablaAsistidos[[#This Row],[Fecha requerida]]="","N",IF(TablaAsistidos[[#This Row],[Fecha requerida]]&lt;=DATE(2026,4,30),"S","N"))</f>
        <v>N</v>
      </c>
    </row>
    <row r="127" spans="1:21" ht="15" hidden="1" customHeight="1">
      <c r="B127" s="31">
        <v>124</v>
      </c>
      <c r="C127" s="122" t="s">
        <v>7</v>
      </c>
      <c r="D127" s="123" t="s">
        <v>35</v>
      </c>
      <c r="E127" s="124" t="s">
        <v>849</v>
      </c>
      <c r="F127" s="137" t="s">
        <v>621</v>
      </c>
      <c r="G127" s="84" t="s">
        <v>256</v>
      </c>
      <c r="H127" s="84" t="s">
        <v>779</v>
      </c>
      <c r="I127" s="84" t="s">
        <v>632</v>
      </c>
      <c r="J127" s="84" t="s">
        <v>41</v>
      </c>
      <c r="K127" s="84" t="s">
        <v>42</v>
      </c>
      <c r="L127" s="86">
        <v>46325</v>
      </c>
      <c r="M127" s="86"/>
      <c r="N127" s="86">
        <v>46325</v>
      </c>
      <c r="O127" s="87" t="s">
        <v>850</v>
      </c>
      <c r="P127" s="84" t="s">
        <v>696</v>
      </c>
      <c r="Q127" s="58" t="b">
        <v>1</v>
      </c>
      <c r="R127" s="33" t="s">
        <v>103</v>
      </c>
      <c r="S127" s="84" t="s">
        <v>46</v>
      </c>
      <c r="T127" s="2"/>
      <c r="U127" s="2" t="str">
        <f>IF(TablaAsistidos[[#This Row],[Fecha requerida]]="","N",IF(TablaAsistidos[[#This Row],[Fecha requerida]]&lt;=DATE(2026,4,30),"S","N"))</f>
        <v>N</v>
      </c>
    </row>
    <row r="128" spans="1:21" ht="15" hidden="1" customHeight="1">
      <c r="A128" s="90"/>
      <c r="B128" s="31">
        <v>125</v>
      </c>
      <c r="C128" s="69" t="s">
        <v>7</v>
      </c>
      <c r="D128" s="92" t="s">
        <v>35</v>
      </c>
      <c r="E128" s="82" t="s">
        <v>851</v>
      </c>
      <c r="F128" s="83" t="s">
        <v>621</v>
      </c>
      <c r="G128" s="84" t="s">
        <v>256</v>
      </c>
      <c r="H128" s="84" t="s">
        <v>779</v>
      </c>
      <c r="I128" s="84" t="s">
        <v>631</v>
      </c>
      <c r="J128" s="84" t="s">
        <v>41</v>
      </c>
      <c r="K128" s="84" t="s">
        <v>42</v>
      </c>
      <c r="L128" s="86">
        <v>46325</v>
      </c>
      <c r="M128" s="86"/>
      <c r="N128" s="86">
        <v>46325</v>
      </c>
      <c r="O128" s="87" t="s">
        <v>850</v>
      </c>
      <c r="P128" s="84" t="s">
        <v>696</v>
      </c>
      <c r="Q128" s="58" t="b">
        <v>1</v>
      </c>
      <c r="R128" s="33" t="s">
        <v>103</v>
      </c>
      <c r="S128" s="84" t="s">
        <v>46</v>
      </c>
      <c r="T128" s="2"/>
      <c r="U128" s="2" t="str">
        <f>IF(TablaAsistidos[[#This Row],[Fecha requerida]]="","N",IF(TablaAsistidos[[#This Row],[Fecha requerida]]&lt;=DATE(2026,4,30),"S","N"))</f>
        <v>N</v>
      </c>
    </row>
    <row r="129" spans="1:21" ht="15" hidden="1" customHeight="1">
      <c r="A129" s="90"/>
      <c r="B129" s="31">
        <v>126</v>
      </c>
      <c r="C129" s="69" t="s">
        <v>7</v>
      </c>
      <c r="D129" s="92" t="s">
        <v>35</v>
      </c>
      <c r="E129" s="82" t="s">
        <v>851</v>
      </c>
      <c r="F129" s="85" t="s">
        <v>621</v>
      </c>
      <c r="G129" s="84" t="s">
        <v>12</v>
      </c>
      <c r="H129" s="84" t="s">
        <v>717</v>
      </c>
      <c r="I129" s="84" t="s">
        <v>599</v>
      </c>
      <c r="J129" s="84" t="s">
        <v>41</v>
      </c>
      <c r="K129" s="84" t="s">
        <v>59</v>
      </c>
      <c r="L129" s="86">
        <v>46127</v>
      </c>
      <c r="M129" s="86"/>
      <c r="N129" s="86"/>
      <c r="O129" s="84"/>
      <c r="P129" s="84" t="s">
        <v>44</v>
      </c>
      <c r="Q129" s="58" t="b">
        <v>1</v>
      </c>
      <c r="R129" s="33" t="s">
        <v>103</v>
      </c>
      <c r="S129" s="31" t="s">
        <v>46</v>
      </c>
      <c r="T129" s="2"/>
      <c r="U129" s="2" t="str">
        <f>IF(TablaAsistidos[[#This Row],[Fecha requerida]]="","N",IF(TablaAsistidos[[#This Row],[Fecha requerida]]&lt;=DATE(2026,4,30),"S","N"))</f>
        <v>S</v>
      </c>
    </row>
    <row r="130" spans="1:21" ht="15" hidden="1" customHeight="1">
      <c r="B130" s="31">
        <v>127</v>
      </c>
      <c r="C130" s="69" t="s">
        <v>7</v>
      </c>
      <c r="D130" s="35" t="s">
        <v>35</v>
      </c>
      <c r="E130" s="77" t="s">
        <v>852</v>
      </c>
      <c r="F130" s="68" t="s">
        <v>578</v>
      </c>
      <c r="G130" s="78" t="s">
        <v>510</v>
      </c>
      <c r="H130" s="78" t="s">
        <v>853</v>
      </c>
      <c r="I130" s="78" t="s">
        <v>654</v>
      </c>
      <c r="J130" s="78" t="s">
        <v>12</v>
      </c>
      <c r="K130" s="78" t="s">
        <v>42</v>
      </c>
      <c r="L130" s="79">
        <v>46178</v>
      </c>
      <c r="M130" s="79"/>
      <c r="N130" s="79"/>
      <c r="O130" s="78"/>
      <c r="P130" s="78" t="s">
        <v>44</v>
      </c>
      <c r="Q130" s="58" t="b">
        <v>1</v>
      </c>
      <c r="R130" s="33" t="s">
        <v>103</v>
      </c>
      <c r="S130" s="31" t="s">
        <v>46</v>
      </c>
      <c r="T130" s="2"/>
      <c r="U130" s="2" t="str">
        <f>IF(TablaAsistidos[[#This Row],[Fecha requerida]]="","N",IF(TablaAsistidos[[#This Row],[Fecha requerida]]&lt;=DATE(2026,4,30),"S","N"))</f>
        <v>N</v>
      </c>
    </row>
    <row r="131" spans="1:21" ht="15" hidden="1" customHeight="1">
      <c r="B131" s="31">
        <v>128</v>
      </c>
      <c r="C131" s="69" t="s">
        <v>7</v>
      </c>
      <c r="D131" s="35" t="s">
        <v>35</v>
      </c>
      <c r="E131" s="77" t="s">
        <v>854</v>
      </c>
      <c r="F131" s="64" t="s">
        <v>578</v>
      </c>
      <c r="G131" s="31" t="s">
        <v>510</v>
      </c>
      <c r="H131" s="13" t="s">
        <v>853</v>
      </c>
      <c r="I131" s="13" t="s">
        <v>654</v>
      </c>
      <c r="J131" s="78" t="s">
        <v>12</v>
      </c>
      <c r="K131" s="78" t="s">
        <v>42</v>
      </c>
      <c r="L131" s="79">
        <v>46178</v>
      </c>
      <c r="M131" s="79"/>
      <c r="N131" s="32"/>
      <c r="O131" s="78"/>
      <c r="P131" s="78" t="s">
        <v>44</v>
      </c>
      <c r="Q131" s="58" t="b">
        <v>1</v>
      </c>
      <c r="R131" s="33" t="s">
        <v>103</v>
      </c>
      <c r="S131" s="81" t="s">
        <v>46</v>
      </c>
      <c r="T131" s="2"/>
      <c r="U131" s="2" t="str">
        <f>IF(TablaAsistidos[[#This Row],[Fecha requerida]]="","N",IF(TablaAsistidos[[#This Row],[Fecha requerida]]&lt;=DATE(2026,4,30),"S","N"))</f>
        <v>N</v>
      </c>
    </row>
    <row r="132" spans="1:21" ht="15" hidden="1" customHeight="1">
      <c r="B132" s="31">
        <v>129</v>
      </c>
      <c r="C132" s="69" t="s">
        <v>7</v>
      </c>
      <c r="D132" s="123" t="s">
        <v>35</v>
      </c>
      <c r="E132" s="77" t="s">
        <v>855</v>
      </c>
      <c r="F132" s="31" t="s">
        <v>578</v>
      </c>
      <c r="G132" s="31" t="s">
        <v>12</v>
      </c>
      <c r="H132" s="13" t="s">
        <v>714</v>
      </c>
      <c r="I132" s="13" t="s">
        <v>638</v>
      </c>
      <c r="J132" s="78" t="s">
        <v>41</v>
      </c>
      <c r="K132" s="78"/>
      <c r="L132" s="79">
        <v>46178</v>
      </c>
      <c r="M132" s="79"/>
      <c r="N132" s="32"/>
      <c r="O132" s="78"/>
      <c r="P132" s="78" t="s">
        <v>44</v>
      </c>
      <c r="Q132" s="58" t="b">
        <v>1</v>
      </c>
      <c r="R132" s="33" t="s">
        <v>103</v>
      </c>
      <c r="S132" s="81" t="s">
        <v>46</v>
      </c>
      <c r="T132" s="2"/>
      <c r="U132" s="2" t="str">
        <f>IF(TablaAsistidos[[#This Row],[Fecha requerida]]="","N",IF(TablaAsistidos[[#This Row],[Fecha requerida]]&lt;=DATE(2026,4,30),"S","N"))</f>
        <v>N</v>
      </c>
    </row>
    <row r="133" spans="1:21" ht="15" hidden="1" customHeight="1">
      <c r="B133" s="31">
        <v>130</v>
      </c>
      <c r="C133" s="125" t="s">
        <v>7</v>
      </c>
      <c r="D133" s="92" t="s">
        <v>35</v>
      </c>
      <c r="E133" s="77" t="s">
        <v>856</v>
      </c>
      <c r="F133" s="78" t="s">
        <v>578</v>
      </c>
      <c r="G133" s="78" t="s">
        <v>12</v>
      </c>
      <c r="H133" s="78" t="s">
        <v>714</v>
      </c>
      <c r="I133" s="78" t="s">
        <v>638</v>
      </c>
      <c r="J133" s="78" t="s">
        <v>41</v>
      </c>
      <c r="K133" s="78"/>
      <c r="L133" s="79">
        <v>46178</v>
      </c>
      <c r="M133" s="79"/>
      <c r="N133" s="79"/>
      <c r="O133" s="78"/>
      <c r="P133" s="78" t="s">
        <v>44</v>
      </c>
      <c r="Q133" s="58" t="b">
        <v>1</v>
      </c>
      <c r="R133" s="33" t="s">
        <v>103</v>
      </c>
      <c r="S133" s="81" t="s">
        <v>46</v>
      </c>
      <c r="T133" s="2"/>
      <c r="U133" s="2" t="str">
        <f>IF(TablaAsistidos[[#This Row],[Fecha requerida]]="","N",IF(TablaAsistidos[[#This Row],[Fecha requerida]]&lt;=DATE(2026,4,30),"S","N"))</f>
        <v>N</v>
      </c>
    </row>
    <row r="134" spans="1:21" ht="15" hidden="1" customHeight="1">
      <c r="B134" s="31">
        <v>131</v>
      </c>
      <c r="C134" s="126" t="s">
        <v>7</v>
      </c>
      <c r="D134" s="92" t="s">
        <v>35</v>
      </c>
      <c r="E134" s="70" t="s">
        <v>857</v>
      </c>
      <c r="F134" s="64" t="s">
        <v>578</v>
      </c>
      <c r="G134" s="31" t="s">
        <v>12</v>
      </c>
      <c r="H134" s="31" t="s">
        <v>858</v>
      </c>
      <c r="I134" s="31" t="s">
        <v>659</v>
      </c>
      <c r="J134" s="31" t="s">
        <v>12</v>
      </c>
      <c r="K134" s="31" t="s">
        <v>42</v>
      </c>
      <c r="L134" s="152">
        <v>46178</v>
      </c>
      <c r="M134" s="152"/>
      <c r="N134" s="32"/>
      <c r="O134" s="34"/>
      <c r="P134" s="31" t="s">
        <v>44</v>
      </c>
      <c r="Q134" s="58" t="b">
        <v>1</v>
      </c>
      <c r="R134" s="33" t="s">
        <v>103</v>
      </c>
      <c r="S134" s="72" t="s">
        <v>46</v>
      </c>
      <c r="T134" s="2"/>
      <c r="U134" s="2" t="str">
        <f>IF(TablaAsistidos[[#This Row],[Fecha requerida]]="","N",IF(TablaAsistidos[[#This Row],[Fecha requerida]]&lt;=DATE(2026,4,30),"S","N"))</f>
        <v>N</v>
      </c>
    </row>
    <row r="135" spans="1:21" ht="15" hidden="1" customHeight="1">
      <c r="B135" s="31">
        <v>132</v>
      </c>
      <c r="C135" s="126" t="s">
        <v>7</v>
      </c>
      <c r="D135" s="35" t="s">
        <v>35</v>
      </c>
      <c r="E135" s="77"/>
      <c r="F135" s="68" t="s">
        <v>673</v>
      </c>
      <c r="G135" s="78"/>
      <c r="H135" s="78" t="s">
        <v>859</v>
      </c>
      <c r="I135" s="78" t="s">
        <v>674</v>
      </c>
      <c r="J135" s="78"/>
      <c r="K135" s="78"/>
      <c r="L135" s="78"/>
      <c r="M135" s="78"/>
      <c r="N135" s="79"/>
      <c r="O135" s="78"/>
      <c r="P135" s="78"/>
      <c r="Q135" s="58" t="b">
        <v>1</v>
      </c>
      <c r="R135" s="80" t="s">
        <v>103</v>
      </c>
      <c r="S135" s="81"/>
      <c r="T135" s="2"/>
      <c r="U135" s="2" t="str">
        <f>IF(TablaAsistidos[[#This Row],[Fecha requerida]]="","N",IF(TablaAsistidos[[#This Row],[Fecha requerida]]&lt;=DATE(2026,4,30),"S","N"))</f>
        <v>N</v>
      </c>
    </row>
    <row r="136" spans="1:21" ht="15" hidden="1" customHeight="1">
      <c r="B136" s="31">
        <v>133</v>
      </c>
      <c r="C136" s="126" t="s">
        <v>7</v>
      </c>
      <c r="D136" s="35" t="s">
        <v>35</v>
      </c>
      <c r="E136" s="77"/>
      <c r="F136" s="68" t="s">
        <v>673</v>
      </c>
      <c r="G136" s="78"/>
      <c r="H136" s="78" t="s">
        <v>860</v>
      </c>
      <c r="I136" s="78" t="s">
        <v>674</v>
      </c>
      <c r="J136" s="78"/>
      <c r="K136" s="78"/>
      <c r="L136" s="78"/>
      <c r="M136" s="78"/>
      <c r="N136" s="79"/>
      <c r="O136" s="78"/>
      <c r="P136" s="78"/>
      <c r="Q136" s="58" t="b">
        <v>1</v>
      </c>
      <c r="R136" s="80" t="s">
        <v>103</v>
      </c>
      <c r="S136" s="81"/>
      <c r="T136" s="2"/>
      <c r="U136" s="2" t="str">
        <f>IF(TablaAsistidos[[#This Row],[Fecha requerida]]="","N",IF(TablaAsistidos[[#This Row],[Fecha requerida]]&lt;=DATE(2026,4,30),"S","N"))</f>
        <v>N</v>
      </c>
    </row>
    <row r="137" spans="1:21" ht="15" hidden="1" customHeight="1">
      <c r="B137" s="31">
        <v>134</v>
      </c>
      <c r="C137" s="136" t="s">
        <v>7</v>
      </c>
      <c r="D137" s="162" t="s">
        <v>35</v>
      </c>
      <c r="E137" s="136" t="s">
        <v>861</v>
      </c>
      <c r="F137" s="163" t="s">
        <v>37</v>
      </c>
      <c r="G137" s="164" t="s">
        <v>583</v>
      </c>
      <c r="H137" s="164" t="s">
        <v>605</v>
      </c>
      <c r="I137" s="164" t="s">
        <v>605</v>
      </c>
      <c r="J137" s="164" t="s">
        <v>41</v>
      </c>
      <c r="K137" s="164" t="s">
        <v>42</v>
      </c>
      <c r="L137" s="165">
        <v>46113</v>
      </c>
      <c r="M137" s="165"/>
      <c r="N137" s="165">
        <v>46113</v>
      </c>
      <c r="O137" s="166"/>
      <c r="P137" s="164" t="s">
        <v>44</v>
      </c>
      <c r="Q137" s="58" t="b">
        <v>1</v>
      </c>
      <c r="R137" s="134" t="s">
        <v>91</v>
      </c>
      <c r="S137" s="167" t="s">
        <v>46</v>
      </c>
      <c r="T137" s="2"/>
      <c r="U137" s="2" t="str">
        <f>IF(TablaAsistidos[[#This Row],[Fecha requerida]]="","N",IF(TablaAsistidos[[#This Row],[Fecha requerida]]&lt;=DATE(2026,4,30),"S","N"))</f>
        <v>S</v>
      </c>
    </row>
    <row r="138" spans="1:21" ht="15" hidden="1" customHeight="1">
      <c r="B138" s="31">
        <v>135</v>
      </c>
      <c r="C138" s="136" t="s">
        <v>7</v>
      </c>
      <c r="D138" s="225" t="s">
        <v>35</v>
      </c>
      <c r="E138" s="239" t="s">
        <v>861</v>
      </c>
      <c r="F138" s="226" t="s">
        <v>37</v>
      </c>
      <c r="G138" s="227" t="s">
        <v>5</v>
      </c>
      <c r="H138" s="227" t="s">
        <v>862</v>
      </c>
      <c r="I138" s="227" t="s">
        <v>606</v>
      </c>
      <c r="J138" s="227" t="s">
        <v>41</v>
      </c>
      <c r="K138" s="227" t="s">
        <v>42</v>
      </c>
      <c r="L138" s="228">
        <v>46119</v>
      </c>
      <c r="M138" s="228"/>
      <c r="N138" s="228">
        <v>46119</v>
      </c>
      <c r="O138" s="227"/>
      <c r="P138" s="227" t="s">
        <v>44</v>
      </c>
      <c r="Q138" s="229" t="b">
        <v>1</v>
      </c>
      <c r="R138" s="230" t="s">
        <v>91</v>
      </c>
      <c r="S138" s="231" t="s">
        <v>46</v>
      </c>
      <c r="T138" s="232"/>
      <c r="U138" s="2" t="str">
        <f>IF(TablaAsistidos[[#This Row],[Fecha requerida]]="","N",IF(TablaAsistidos[[#This Row],[Fecha requerida]]&lt;=DATE(2026,4,30),"S","N"))</f>
        <v>S</v>
      </c>
    </row>
    <row r="139" spans="1:21" ht="15" customHeight="1">
      <c r="B139" s="243">
        <v>136</v>
      </c>
      <c r="C139" s="244" t="s">
        <v>7</v>
      </c>
      <c r="D139" s="245"/>
      <c r="E139" s="246"/>
      <c r="F139" s="247" t="s">
        <v>863</v>
      </c>
      <c r="G139" s="243" t="s">
        <v>12</v>
      </c>
      <c r="H139" s="243" t="s">
        <v>864</v>
      </c>
      <c r="I139" s="243" t="s">
        <v>864</v>
      </c>
      <c r="J139" s="243" t="s">
        <v>41</v>
      </c>
      <c r="K139" s="243" t="s">
        <v>42</v>
      </c>
      <c r="L139" s="248" t="s">
        <v>43</v>
      </c>
      <c r="M139" s="248"/>
      <c r="N139" s="248" t="s">
        <v>43</v>
      </c>
      <c r="O139" s="243"/>
      <c r="P139" s="243" t="s">
        <v>44</v>
      </c>
      <c r="Q139" s="249" t="b">
        <v>0</v>
      </c>
      <c r="R139" s="250" t="s">
        <v>91</v>
      </c>
      <c r="S139" s="251" t="s">
        <v>46</v>
      </c>
      <c r="T139" s="254" t="s">
        <v>865</v>
      </c>
      <c r="U139" s="252"/>
    </row>
    <row r="140" spans="1:21" ht="15" customHeight="1">
      <c r="B140" s="31">
        <v>137</v>
      </c>
      <c r="C140" s="69" t="s">
        <v>7</v>
      </c>
      <c r="D140" s="35" t="s">
        <v>35</v>
      </c>
      <c r="E140" s="70" t="s">
        <v>762</v>
      </c>
      <c r="F140" s="64" t="s">
        <v>578</v>
      </c>
      <c r="G140" s="31" t="s">
        <v>38</v>
      </c>
      <c r="H140" s="31" t="s">
        <v>866</v>
      </c>
      <c r="I140" s="31" t="s">
        <v>867</v>
      </c>
      <c r="J140" s="31" t="s">
        <v>41</v>
      </c>
      <c r="K140" s="31" t="s">
        <v>59</v>
      </c>
      <c r="L140" s="32">
        <v>46143</v>
      </c>
      <c r="M140" s="32"/>
      <c r="N140" s="32" t="s">
        <v>43</v>
      </c>
      <c r="O140" s="31"/>
      <c r="P140" s="31" t="s">
        <v>44</v>
      </c>
      <c r="Q140" s="58" t="b">
        <v>1</v>
      </c>
      <c r="R140" s="33" t="s">
        <v>179</v>
      </c>
      <c r="S140" s="72" t="s">
        <v>46</v>
      </c>
      <c r="T140" s="13" t="s">
        <v>868</v>
      </c>
      <c r="U140" s="252"/>
    </row>
    <row r="148" spans="8:9" ht="15" customHeight="1">
      <c r="H148"/>
      <c r="I148"/>
    </row>
    <row r="149" spans="8:9" ht="15" customHeight="1">
      <c r="H149" s="71"/>
      <c r="I149"/>
    </row>
    <row r="150" spans="8:9" ht="15" customHeight="1">
      <c r="H150" s="182" t="s">
        <v>596</v>
      </c>
      <c r="I150" t="s">
        <v>869</v>
      </c>
    </row>
    <row r="151" spans="8:9" ht="15" customHeight="1">
      <c r="H151" s="71" t="s">
        <v>675</v>
      </c>
      <c r="I151"/>
    </row>
  </sheetData>
  <phoneticPr fontId="14" type="noConversion"/>
  <pageMargins left="0.7" right="0.7" top="0.75" bottom="0.75" header="0.3" footer="0.3"/>
  <legacyDrawing r:id="rId2"/>
  <tableParts count="1">
    <tablePart r:id="rId3"/>
  </tableParts>
  <extLst>
    <ext xmlns:x14="http://schemas.microsoft.com/office/spreadsheetml/2009/9/main" uri="{CCE6A557-97BC-4b89-ADB6-D9C93CAAB3DF}">
      <x14:dataValidations xmlns:xm="http://schemas.microsoft.com/office/excel/2006/main" count="3">
        <x14:dataValidation type="list" allowBlank="1" showInputMessage="1" showErrorMessage="1" xr:uid="{3500D97D-BE47-4BA5-97DD-21097DDB6763}">
          <x14:formula1>
            <xm:f>Catálogo!$C$3:$C$5</xm:f>
          </x14:formula1>
          <xm:sqref>K87:K90 K82 K92:K93 K105:K106 K127:K129 L5:M5 L7:M8 K4:K75 K109:K110 K113:K119 K137:K139</xm:sqref>
        </x14:dataValidation>
        <x14:dataValidation type="list" allowBlank="1" showInputMessage="1" showErrorMessage="1" xr:uid="{CD6013EA-EEDB-48B4-8B55-73B6A22F5BA0}">
          <x14:formula1>
            <xm:f>Catálogo!$B$3:$B$8</xm:f>
          </x14:formula1>
          <xm:sqref>J82 J92:J93 J105:J106 J125:J129 J87:J90 J4:J75 J109:J110 J113:J119 J137:J139</xm:sqref>
        </x14:dataValidation>
        <x14:dataValidation type="list" allowBlank="1" showInputMessage="1" showErrorMessage="1" xr:uid="{600530C7-8294-4D08-8B5F-891AB7AC3124}">
          <x14:formula1>
            <xm:f>Parametros!$B$2:$B$6</xm:f>
          </x14:formula1>
          <xm:sqref>R1:R1048576</xm:sqref>
        </x14:dataValidation>
      </x14:dataValidation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6EC6F-C288-47DF-8F28-445F93617C64}">
  <dimension ref="B1:V996"/>
  <sheetViews>
    <sheetView showGridLines="0" zoomScale="90" zoomScaleNormal="90" workbookViewId="0">
      <pane xSplit="6" ySplit="15" topLeftCell="G16" activePane="bottomRight" state="frozen"/>
      <selection pane="topRight" activeCell="G1" sqref="G1"/>
      <selection pane="bottomLeft" activeCell="A5" sqref="A5"/>
      <selection pane="bottomRight" activeCell="A38" sqref="A38:XFD44"/>
    </sheetView>
  </sheetViews>
  <sheetFormatPr baseColWidth="10" defaultColWidth="11.453125" defaultRowHeight="14.5"/>
  <cols>
    <col min="1" max="1" width="4.81640625" style="41" customWidth="1"/>
    <col min="2" max="2" width="7.453125" style="41" customWidth="1"/>
    <col min="3" max="3" width="10.54296875" style="41" customWidth="1"/>
    <col min="4" max="4" width="11.1796875" style="40" customWidth="1"/>
    <col min="5" max="5" width="6.81640625" style="41" customWidth="1"/>
    <col min="6" max="6" width="18.54296875" style="42" customWidth="1"/>
    <col min="7" max="7" width="12.54296875" style="42" customWidth="1"/>
    <col min="8" max="8" width="55.453125" style="42" customWidth="1"/>
    <col min="9" max="9" width="28.453125" style="42" hidden="1" customWidth="1"/>
    <col min="10" max="10" width="17.453125" style="42" hidden="1" customWidth="1"/>
    <col min="11" max="11" width="12.453125" style="42" hidden="1" customWidth="1"/>
    <col min="12" max="13" width="12.54296875" style="40" customWidth="1"/>
    <col min="14" max="14" width="17.81640625" style="179" bestFit="1" customWidth="1"/>
    <col min="15" max="15" width="17" style="42" bestFit="1" customWidth="1"/>
    <col min="16" max="16" width="14.1796875" style="42" customWidth="1"/>
    <col min="17" max="17" width="14.1796875" customWidth="1"/>
    <col min="18" max="18" width="20.54296875" style="6" customWidth="1"/>
    <col min="19" max="16384" width="11.453125" style="41"/>
  </cols>
  <sheetData>
    <row r="1" spans="2:22" ht="9" customHeight="1"/>
    <row r="2" spans="2:22" s="45" customFormat="1" ht="28.5" customHeight="1">
      <c r="B2" s="10" t="s">
        <v>80</v>
      </c>
      <c r="C2" s="10" t="s">
        <v>0</v>
      </c>
      <c r="D2" s="44" t="s">
        <v>20</v>
      </c>
      <c r="E2" s="45" t="s">
        <v>81</v>
      </c>
      <c r="F2" s="46" t="s">
        <v>22</v>
      </c>
      <c r="G2" s="46" t="s">
        <v>23</v>
      </c>
      <c r="H2" s="46" t="s">
        <v>24</v>
      </c>
      <c r="I2" s="46" t="s">
        <v>25</v>
      </c>
      <c r="J2" s="47" t="s">
        <v>26</v>
      </c>
      <c r="K2" s="47" t="s">
        <v>27</v>
      </c>
      <c r="L2" s="180" t="s">
        <v>28</v>
      </c>
      <c r="M2" s="180" t="s">
        <v>82</v>
      </c>
      <c r="N2" s="181" t="s">
        <v>29</v>
      </c>
      <c r="O2" s="48" t="s">
        <v>30</v>
      </c>
      <c r="P2" s="46" t="s">
        <v>31</v>
      </c>
      <c r="Q2" s="3" t="s">
        <v>32</v>
      </c>
      <c r="R2" s="4" t="s">
        <v>33</v>
      </c>
      <c r="S2" s="45" t="s">
        <v>34</v>
      </c>
      <c r="T2" s="45" t="s">
        <v>83</v>
      </c>
      <c r="U2" s="45" t="s">
        <v>84</v>
      </c>
      <c r="V2" s="45" t="s">
        <v>28</v>
      </c>
    </row>
    <row r="3" spans="2:22" s="56" customFormat="1" ht="13">
      <c r="B3" s="116">
        <v>1</v>
      </c>
      <c r="C3" s="117" t="s">
        <v>678</v>
      </c>
      <c r="D3" s="49" t="s">
        <v>870</v>
      </c>
      <c r="E3" s="50"/>
      <c r="F3" s="51" t="s">
        <v>3</v>
      </c>
      <c r="G3" s="51" t="s">
        <v>10</v>
      </c>
      <c r="H3" s="51" t="s">
        <v>871</v>
      </c>
      <c r="I3" s="51" t="s">
        <v>872</v>
      </c>
      <c r="J3" s="51" t="s">
        <v>41</v>
      </c>
      <c r="K3" s="51" t="s">
        <v>59</v>
      </c>
      <c r="L3" s="52">
        <v>46101</v>
      </c>
      <c r="M3" s="52"/>
      <c r="N3" s="52"/>
      <c r="O3" s="53"/>
      <c r="P3" s="54" t="s">
        <v>102</v>
      </c>
      <c r="Q3" s="16" t="b">
        <v>1</v>
      </c>
      <c r="R3" s="15" t="s">
        <v>179</v>
      </c>
      <c r="S3" s="55" t="s">
        <v>873</v>
      </c>
      <c r="T3" s="172"/>
      <c r="U3" s="172" t="str">
        <f>IF(TablaMigracion[[#This Row],[Fecha requerida]]="","N",IF(TablaMigracion[[#This Row],[Fecha requerida]]&lt;=DATE(2026,4,30),"S","N"))</f>
        <v>S</v>
      </c>
      <c r="V3" s="176" t="s">
        <v>874</v>
      </c>
    </row>
    <row r="4" spans="2:22" hidden="1">
      <c r="B4" s="116">
        <v>2</v>
      </c>
      <c r="C4" s="117" t="s">
        <v>678</v>
      </c>
      <c r="D4" s="49" t="s">
        <v>870</v>
      </c>
      <c r="E4" s="50"/>
      <c r="F4" s="54" t="s">
        <v>3</v>
      </c>
      <c r="G4" s="54" t="s">
        <v>10</v>
      </c>
      <c r="H4" s="54" t="s">
        <v>875</v>
      </c>
      <c r="I4" s="54" t="s">
        <v>876</v>
      </c>
      <c r="J4" s="54" t="s">
        <v>41</v>
      </c>
      <c r="K4" s="54" t="s">
        <v>59</v>
      </c>
      <c r="L4" s="52">
        <v>46142</v>
      </c>
      <c r="M4" s="52"/>
      <c r="N4" s="52">
        <v>46076</v>
      </c>
      <c r="O4" s="54" t="s">
        <v>102</v>
      </c>
      <c r="P4" s="54" t="s">
        <v>102</v>
      </c>
      <c r="Q4" s="16" t="b">
        <v>1</v>
      </c>
      <c r="R4" s="15" t="s">
        <v>169</v>
      </c>
      <c r="S4" s="55" t="s">
        <v>873</v>
      </c>
      <c r="T4" s="172"/>
      <c r="U4" s="172" t="str">
        <f>IF(TablaMigracion[[#This Row],[Fecha requerida]]="","N",IF(TablaMigracion[[#This Row],[Fecha requerida]]&lt;=DATE(2026,4,30),"S","N"))</f>
        <v>S</v>
      </c>
      <c r="V4" s="175" t="s">
        <v>877</v>
      </c>
    </row>
    <row r="5" spans="2:22" hidden="1">
      <c r="B5" s="116">
        <v>3</v>
      </c>
      <c r="C5" s="117" t="s">
        <v>678</v>
      </c>
      <c r="D5" s="57" t="s">
        <v>878</v>
      </c>
      <c r="E5" s="50"/>
      <c r="F5" s="51" t="s">
        <v>3</v>
      </c>
      <c r="G5" s="51" t="s">
        <v>162</v>
      </c>
      <c r="H5" s="51" t="s">
        <v>879</v>
      </c>
      <c r="I5" s="51" t="s">
        <v>880</v>
      </c>
      <c r="J5" s="51" t="s">
        <v>41</v>
      </c>
      <c r="K5" s="51" t="s">
        <v>59</v>
      </c>
      <c r="L5" s="52">
        <v>46112</v>
      </c>
      <c r="M5" s="52">
        <v>46129</v>
      </c>
      <c r="N5" s="52">
        <v>46129</v>
      </c>
      <c r="O5" s="53"/>
      <c r="P5" s="54" t="s">
        <v>696</v>
      </c>
      <c r="Q5" s="16" t="b">
        <v>1</v>
      </c>
      <c r="R5" s="15" t="s">
        <v>169</v>
      </c>
      <c r="S5" s="55" t="s">
        <v>873</v>
      </c>
      <c r="T5" s="172"/>
      <c r="U5" s="172" t="str">
        <f>IF(TablaMigracion[[#This Row],[Fecha requerida]]="","N",IF(TablaMigracion[[#This Row],[Fecha requerida]]&lt;=DATE(2026,4,30),"S","N"))</f>
        <v>S</v>
      </c>
      <c r="V5" s="175" t="s">
        <v>881</v>
      </c>
    </row>
    <row r="6" spans="2:22" hidden="1">
      <c r="B6" s="116">
        <v>4</v>
      </c>
      <c r="C6" s="117" t="s">
        <v>678</v>
      </c>
      <c r="D6" s="57" t="s">
        <v>882</v>
      </c>
      <c r="E6" s="50"/>
      <c r="F6" s="51" t="s">
        <v>3</v>
      </c>
      <c r="G6" s="51" t="s">
        <v>883</v>
      </c>
      <c r="H6" s="51" t="s">
        <v>884</v>
      </c>
      <c r="I6" s="51" t="s">
        <v>885</v>
      </c>
      <c r="J6" s="51" t="s">
        <v>41</v>
      </c>
      <c r="K6" s="51" t="s">
        <v>59</v>
      </c>
      <c r="L6" s="52">
        <v>46299</v>
      </c>
      <c r="M6" s="52"/>
      <c r="N6" s="52"/>
      <c r="O6" s="53"/>
      <c r="P6" s="54" t="s">
        <v>780</v>
      </c>
      <c r="Q6" s="16" t="b">
        <v>0</v>
      </c>
      <c r="R6" s="15" t="s">
        <v>169</v>
      </c>
      <c r="S6" s="55" t="s">
        <v>873</v>
      </c>
      <c r="T6" s="172"/>
      <c r="U6" s="172" t="str">
        <f>IF(TablaMigracion[[#This Row],[Fecha requerida]]="","N",IF(TablaMigracion[[#This Row],[Fecha requerida]]&lt;=DATE(2026,4,30),"S","N"))</f>
        <v>N</v>
      </c>
      <c r="V6" s="175">
        <v>46122</v>
      </c>
    </row>
    <row r="7" spans="2:22" hidden="1">
      <c r="B7" s="116">
        <v>5</v>
      </c>
      <c r="C7" s="117" t="s">
        <v>678</v>
      </c>
      <c r="D7" s="49" t="s">
        <v>870</v>
      </c>
      <c r="E7" s="50"/>
      <c r="F7" s="51" t="s">
        <v>3</v>
      </c>
      <c r="G7" s="51" t="s">
        <v>883</v>
      </c>
      <c r="H7" s="51" t="s">
        <v>886</v>
      </c>
      <c r="I7" s="51" t="s">
        <v>887</v>
      </c>
      <c r="J7" s="51" t="s">
        <v>41</v>
      </c>
      <c r="K7" s="51" t="s">
        <v>59</v>
      </c>
      <c r="L7" s="52">
        <v>46299</v>
      </c>
      <c r="M7" s="52"/>
      <c r="N7" s="52"/>
      <c r="O7" s="53"/>
      <c r="P7" s="54" t="s">
        <v>780</v>
      </c>
      <c r="Q7" s="16" t="b">
        <v>0</v>
      </c>
      <c r="R7" s="15" t="s">
        <v>179</v>
      </c>
      <c r="S7" s="55" t="s">
        <v>873</v>
      </c>
      <c r="T7" s="172"/>
      <c r="U7" s="172" t="str">
        <f>IF(TablaMigracion[[#This Row],[Fecha requerida]]="","N",IF(TablaMigracion[[#This Row],[Fecha requerida]]&lt;=DATE(2026,4,30),"S","N"))</f>
        <v>N</v>
      </c>
      <c r="V7" s="175">
        <v>46299</v>
      </c>
    </row>
    <row r="8" spans="2:22">
      <c r="B8" s="116">
        <v>6</v>
      </c>
      <c r="C8" s="117" t="s">
        <v>678</v>
      </c>
      <c r="D8" s="57" t="s">
        <v>878</v>
      </c>
      <c r="E8" s="50"/>
      <c r="F8" s="51" t="s">
        <v>3</v>
      </c>
      <c r="G8" s="51" t="s">
        <v>888</v>
      </c>
      <c r="H8" s="51" t="s">
        <v>889</v>
      </c>
      <c r="I8" s="51" t="s">
        <v>890</v>
      </c>
      <c r="J8" s="51" t="s">
        <v>41</v>
      </c>
      <c r="K8" s="51" t="s">
        <v>59</v>
      </c>
      <c r="L8" s="52">
        <v>46112</v>
      </c>
      <c r="M8" s="52"/>
      <c r="N8" s="52"/>
      <c r="O8" s="53"/>
      <c r="P8" s="54" t="s">
        <v>891</v>
      </c>
      <c r="Q8" s="16" t="b">
        <v>1</v>
      </c>
      <c r="R8" s="15" t="s">
        <v>179</v>
      </c>
      <c r="S8" s="55" t="s">
        <v>873</v>
      </c>
      <c r="T8" s="172"/>
      <c r="U8" s="172" t="str">
        <f>IF(TablaMigracion[[#This Row],[Fecha requerida]]="","N",IF(TablaMigracion[[#This Row],[Fecha requerida]]&lt;=DATE(2026,4,30),"S","N"))</f>
        <v>S</v>
      </c>
      <c r="V8" s="175" t="s">
        <v>881</v>
      </c>
    </row>
    <row r="9" spans="2:22">
      <c r="B9" s="116">
        <v>7</v>
      </c>
      <c r="C9" s="117" t="s">
        <v>678</v>
      </c>
      <c r="D9" s="57" t="s">
        <v>878</v>
      </c>
      <c r="E9" s="50"/>
      <c r="F9" s="51" t="s">
        <v>3</v>
      </c>
      <c r="G9" s="51" t="s">
        <v>46</v>
      </c>
      <c r="H9" s="51" t="s">
        <v>892</v>
      </c>
      <c r="I9" s="51" t="s">
        <v>893</v>
      </c>
      <c r="J9" s="51" t="s">
        <v>41</v>
      </c>
      <c r="K9" s="51" t="s">
        <v>59</v>
      </c>
      <c r="L9" s="52">
        <v>46112</v>
      </c>
      <c r="M9" s="52"/>
      <c r="N9" s="52"/>
      <c r="O9" s="53"/>
      <c r="P9" s="54" t="s">
        <v>44</v>
      </c>
      <c r="Q9" s="16" t="b">
        <v>1</v>
      </c>
      <c r="R9" s="15" t="s">
        <v>179</v>
      </c>
      <c r="S9" s="55" t="s">
        <v>873</v>
      </c>
      <c r="T9" s="172"/>
      <c r="U9" s="172" t="str">
        <f>IF(TablaMigracion[[#This Row],[Fecha requerida]]="","N",IF(TablaMigracion[[#This Row],[Fecha requerida]]&lt;=DATE(2026,4,30),"S","N"))</f>
        <v>S</v>
      </c>
      <c r="V9" s="175" t="s">
        <v>881</v>
      </c>
    </row>
    <row r="10" spans="2:22" hidden="1">
      <c r="B10" s="116">
        <v>8</v>
      </c>
      <c r="C10" s="117" t="s">
        <v>678</v>
      </c>
      <c r="D10" s="49" t="s">
        <v>870</v>
      </c>
      <c r="E10" s="50"/>
      <c r="F10" s="51" t="s">
        <v>3</v>
      </c>
      <c r="G10" s="51" t="s">
        <v>698</v>
      </c>
      <c r="H10" s="51" t="s">
        <v>894</v>
      </c>
      <c r="I10" s="51" t="s">
        <v>895</v>
      </c>
      <c r="J10" s="51" t="s">
        <v>41</v>
      </c>
      <c r="K10" s="51" t="s">
        <v>59</v>
      </c>
      <c r="L10" s="52">
        <v>46127</v>
      </c>
      <c r="M10" s="52"/>
      <c r="N10" s="52"/>
      <c r="O10" s="53"/>
      <c r="P10" s="54" t="s">
        <v>186</v>
      </c>
      <c r="Q10" s="16" t="b">
        <v>1</v>
      </c>
      <c r="R10" s="15" t="s">
        <v>169</v>
      </c>
      <c r="S10" s="55" t="s">
        <v>873</v>
      </c>
      <c r="T10" s="172"/>
      <c r="U10" s="172" t="str">
        <f>IF(TablaMigracion[[#This Row],[Fecha requerida]]="","N",IF(TablaMigracion[[#This Row],[Fecha requerida]]&lt;=DATE(2026,4,30),"S","N"))</f>
        <v>S</v>
      </c>
      <c r="V10" s="175" t="s">
        <v>896</v>
      </c>
    </row>
    <row r="11" spans="2:22" hidden="1">
      <c r="B11" s="116">
        <v>9</v>
      </c>
      <c r="C11" s="117" t="s">
        <v>678</v>
      </c>
      <c r="D11" s="49" t="s">
        <v>870</v>
      </c>
      <c r="E11" s="50"/>
      <c r="F11" s="51" t="s">
        <v>3</v>
      </c>
      <c r="G11" s="51" t="s">
        <v>698</v>
      </c>
      <c r="H11" s="51" t="s">
        <v>897</v>
      </c>
      <c r="I11" s="51" t="s">
        <v>895</v>
      </c>
      <c r="J11" s="51" t="s">
        <v>41</v>
      </c>
      <c r="K11" s="51" t="s">
        <v>59</v>
      </c>
      <c r="L11" s="52">
        <v>46127</v>
      </c>
      <c r="M11" s="52"/>
      <c r="N11" s="52"/>
      <c r="O11" s="53"/>
      <c r="P11" s="54" t="s">
        <v>186</v>
      </c>
      <c r="Q11" s="16" t="b">
        <v>1</v>
      </c>
      <c r="R11" s="15" t="s">
        <v>169</v>
      </c>
      <c r="S11" s="55" t="s">
        <v>873</v>
      </c>
      <c r="T11" s="172"/>
      <c r="U11" s="172" t="str">
        <f>IF(TablaMigracion[[#This Row],[Fecha requerida]]="","N",IF(TablaMigracion[[#This Row],[Fecha requerida]]&lt;=DATE(2026,4,30),"S","N"))</f>
        <v>S</v>
      </c>
      <c r="V11" s="175" t="s">
        <v>896</v>
      </c>
    </row>
    <row r="12" spans="2:22" hidden="1">
      <c r="B12" s="116">
        <v>10</v>
      </c>
      <c r="C12" s="117" t="s">
        <v>678</v>
      </c>
      <c r="D12" s="49" t="s">
        <v>870</v>
      </c>
      <c r="E12" s="50"/>
      <c r="F12" s="51" t="s">
        <v>3</v>
      </c>
      <c r="G12" s="51" t="s">
        <v>698</v>
      </c>
      <c r="H12" s="51" t="s">
        <v>898</v>
      </c>
      <c r="I12" s="51" t="s">
        <v>895</v>
      </c>
      <c r="J12" s="51" t="s">
        <v>41</v>
      </c>
      <c r="K12" s="51" t="s">
        <v>59</v>
      </c>
      <c r="L12" s="52">
        <v>46127</v>
      </c>
      <c r="M12" s="52"/>
      <c r="N12" s="52"/>
      <c r="O12" s="53"/>
      <c r="P12" s="54" t="s">
        <v>186</v>
      </c>
      <c r="Q12" s="16" t="b">
        <v>1</v>
      </c>
      <c r="R12" s="15" t="s">
        <v>169</v>
      </c>
      <c r="S12" s="55" t="s">
        <v>873</v>
      </c>
      <c r="T12" s="172"/>
      <c r="U12" s="172" t="str">
        <f>IF(TablaMigracion[[#This Row],[Fecha requerida]]="","N",IF(TablaMigracion[[#This Row],[Fecha requerida]]&lt;=DATE(2026,4,30),"S","N"))</f>
        <v>S</v>
      </c>
      <c r="V12" s="175" t="s">
        <v>896</v>
      </c>
    </row>
    <row r="13" spans="2:22">
      <c r="B13" s="116">
        <v>11</v>
      </c>
      <c r="C13" s="117" t="s">
        <v>678</v>
      </c>
      <c r="D13" s="57" t="s">
        <v>878</v>
      </c>
      <c r="E13" s="50"/>
      <c r="F13" s="51" t="s">
        <v>3</v>
      </c>
      <c r="G13" s="51" t="s">
        <v>316</v>
      </c>
      <c r="H13" s="51" t="s">
        <v>899</v>
      </c>
      <c r="I13" s="51" t="s">
        <v>900</v>
      </c>
      <c r="J13" s="51" t="s">
        <v>41</v>
      </c>
      <c r="K13" s="51" t="s">
        <v>59</v>
      </c>
      <c r="L13" s="52">
        <v>46112</v>
      </c>
      <c r="M13" s="52"/>
      <c r="N13" s="52"/>
      <c r="O13" s="53"/>
      <c r="P13" s="54" t="s">
        <v>173</v>
      </c>
      <c r="Q13" s="16" t="b">
        <v>1</v>
      </c>
      <c r="R13" s="15" t="s">
        <v>179</v>
      </c>
      <c r="S13" s="55" t="s">
        <v>873</v>
      </c>
      <c r="T13" s="172"/>
      <c r="U13" s="172" t="str">
        <f>IF(TablaMigracion[[#This Row],[Fecha requerida]]="","N",IF(TablaMigracion[[#This Row],[Fecha requerida]]&lt;=DATE(2026,4,30),"S","N"))</f>
        <v>S</v>
      </c>
      <c r="V13" s="175" t="s">
        <v>881</v>
      </c>
    </row>
    <row r="14" spans="2:22">
      <c r="B14" s="116">
        <v>12</v>
      </c>
      <c r="C14" s="117" t="s">
        <v>678</v>
      </c>
      <c r="D14" s="49" t="s">
        <v>870</v>
      </c>
      <c r="E14" s="50"/>
      <c r="F14" s="51" t="s">
        <v>3</v>
      </c>
      <c r="G14" s="51" t="s">
        <v>10</v>
      </c>
      <c r="H14" s="51" t="s">
        <v>901</v>
      </c>
      <c r="I14" s="51" t="s">
        <v>902</v>
      </c>
      <c r="J14" s="51" t="s">
        <v>41</v>
      </c>
      <c r="K14" s="51" t="s">
        <v>59</v>
      </c>
      <c r="L14" s="52">
        <v>46081</v>
      </c>
      <c r="M14" s="52"/>
      <c r="N14" s="52"/>
      <c r="O14" s="53"/>
      <c r="P14" s="54" t="s">
        <v>102</v>
      </c>
      <c r="Q14" s="16" t="b">
        <v>1</v>
      </c>
      <c r="R14" s="15" t="s">
        <v>179</v>
      </c>
      <c r="S14" s="55" t="s">
        <v>873</v>
      </c>
      <c r="T14" s="172"/>
      <c r="U14" s="172" t="str">
        <f>IF(TablaMigracion[[#This Row],[Fecha requerida]]="","N",IF(TablaMigracion[[#This Row],[Fecha requerida]]&lt;=DATE(2026,4,30),"S","N"))</f>
        <v>S</v>
      </c>
      <c r="V14" s="175" t="s">
        <v>903</v>
      </c>
    </row>
    <row r="15" spans="2:22">
      <c r="B15" s="116">
        <v>13</v>
      </c>
      <c r="C15" s="117" t="s">
        <v>678</v>
      </c>
      <c r="D15" s="57" t="s">
        <v>878</v>
      </c>
      <c r="E15" s="50"/>
      <c r="F15" s="51" t="s">
        <v>3</v>
      </c>
      <c r="G15" s="51" t="s">
        <v>10</v>
      </c>
      <c r="H15" s="51" t="s">
        <v>904</v>
      </c>
      <c r="I15" s="51" t="s">
        <v>905</v>
      </c>
      <c r="J15" s="51" t="s">
        <v>41</v>
      </c>
      <c r="K15" s="51" t="s">
        <v>59</v>
      </c>
      <c r="L15" s="52">
        <v>46112</v>
      </c>
      <c r="M15" s="52"/>
      <c r="N15" s="52"/>
      <c r="O15" s="53"/>
      <c r="P15" s="54" t="s">
        <v>102</v>
      </c>
      <c r="Q15" s="16" t="b">
        <v>1</v>
      </c>
      <c r="R15" s="15" t="s">
        <v>179</v>
      </c>
      <c r="S15" s="55" t="s">
        <v>873</v>
      </c>
      <c r="T15" s="172"/>
      <c r="U15" s="172" t="str">
        <f>IF(TablaMigracion[[#This Row],[Fecha requerida]]="","N",IF(TablaMigracion[[#This Row],[Fecha requerida]]&lt;=DATE(2026,4,30),"S","N"))</f>
        <v>S</v>
      </c>
      <c r="V15" s="175" t="s">
        <v>881</v>
      </c>
    </row>
    <row r="16" spans="2:22">
      <c r="B16" s="116">
        <v>14</v>
      </c>
      <c r="C16" s="117" t="s">
        <v>678</v>
      </c>
      <c r="D16" s="57" t="s">
        <v>882</v>
      </c>
      <c r="E16" s="50"/>
      <c r="F16" s="51" t="s">
        <v>3</v>
      </c>
      <c r="G16" s="51" t="s">
        <v>10</v>
      </c>
      <c r="H16" s="51" t="s">
        <v>906</v>
      </c>
      <c r="I16" s="51" t="s">
        <v>907</v>
      </c>
      <c r="J16" s="51" t="s">
        <v>41</v>
      </c>
      <c r="K16" s="51" t="s">
        <v>59</v>
      </c>
      <c r="L16" s="52">
        <v>46101</v>
      </c>
      <c r="M16" s="52"/>
      <c r="N16" s="52"/>
      <c r="O16" s="53"/>
      <c r="P16" s="54" t="s">
        <v>102</v>
      </c>
      <c r="Q16" s="16" t="b">
        <v>1</v>
      </c>
      <c r="R16" s="15" t="s">
        <v>179</v>
      </c>
      <c r="S16" s="55" t="s">
        <v>873</v>
      </c>
      <c r="T16" s="172"/>
      <c r="U16" s="172" t="str">
        <f>IF(TablaMigracion[[#This Row],[Fecha requerida]]="","N",IF(TablaMigracion[[#This Row],[Fecha requerida]]&lt;=DATE(2026,4,30),"S","N"))</f>
        <v>S</v>
      </c>
      <c r="V16" s="175" t="s">
        <v>874</v>
      </c>
    </row>
    <row r="17" spans="2:22" hidden="1">
      <c r="B17" s="116">
        <v>15</v>
      </c>
      <c r="C17" s="117" t="s">
        <v>678</v>
      </c>
      <c r="D17" s="57" t="s">
        <v>882</v>
      </c>
      <c r="E17" s="50"/>
      <c r="F17" s="51" t="s">
        <v>3</v>
      </c>
      <c r="G17" s="51" t="s">
        <v>46</v>
      </c>
      <c r="H17" s="51" t="s">
        <v>908</v>
      </c>
      <c r="I17" s="51" t="s">
        <v>909</v>
      </c>
      <c r="J17" s="51" t="s">
        <v>41</v>
      </c>
      <c r="K17" s="51" t="s">
        <v>59</v>
      </c>
      <c r="L17" s="52">
        <v>46112</v>
      </c>
      <c r="M17" s="52"/>
      <c r="N17" s="52">
        <v>46129</v>
      </c>
      <c r="O17" s="53"/>
      <c r="P17" s="54" t="s">
        <v>44</v>
      </c>
      <c r="Q17" s="16" t="b">
        <v>1</v>
      </c>
      <c r="R17" s="15" t="s">
        <v>169</v>
      </c>
      <c r="S17" s="55" t="s">
        <v>873</v>
      </c>
      <c r="T17" s="172"/>
      <c r="U17" s="172" t="str">
        <f>IF(TablaMigracion[[#This Row],[Fecha requerida]]="","N",IF(TablaMigracion[[#This Row],[Fecha requerida]]&lt;=DATE(2026,4,30),"S","N"))</f>
        <v>S</v>
      </c>
      <c r="V17" s="175" t="s">
        <v>881</v>
      </c>
    </row>
    <row r="18" spans="2:22">
      <c r="B18" s="116">
        <v>16</v>
      </c>
      <c r="C18" s="117" t="s">
        <v>678</v>
      </c>
      <c r="D18" s="49" t="s">
        <v>870</v>
      </c>
      <c r="E18" s="50"/>
      <c r="F18" s="51" t="s">
        <v>3</v>
      </c>
      <c r="G18" s="51" t="s">
        <v>46</v>
      </c>
      <c r="H18" s="51" t="s">
        <v>910</v>
      </c>
      <c r="I18" s="51" t="s">
        <v>887</v>
      </c>
      <c r="J18" s="51" t="s">
        <v>41</v>
      </c>
      <c r="K18" s="51" t="s">
        <v>59</v>
      </c>
      <c r="L18" s="52">
        <v>46122</v>
      </c>
      <c r="M18" s="52"/>
      <c r="N18" s="52"/>
      <c r="O18" s="53"/>
      <c r="P18" s="54" t="s">
        <v>44</v>
      </c>
      <c r="Q18" s="16" t="b">
        <v>1</v>
      </c>
      <c r="R18" s="15" t="s">
        <v>179</v>
      </c>
      <c r="S18" s="55" t="s">
        <v>873</v>
      </c>
      <c r="T18" s="172"/>
      <c r="U18" s="172" t="str">
        <f>IF(TablaMigracion[[#This Row],[Fecha requerida]]="","N",IF(TablaMigracion[[#This Row],[Fecha requerida]]&lt;=DATE(2026,4,30),"S","N"))</f>
        <v>S</v>
      </c>
      <c r="V18" s="175">
        <v>46122</v>
      </c>
    </row>
    <row r="19" spans="2:22">
      <c r="B19" s="116">
        <v>17</v>
      </c>
      <c r="C19" s="117" t="s">
        <v>678</v>
      </c>
      <c r="D19" s="57" t="s">
        <v>882</v>
      </c>
      <c r="E19" s="50"/>
      <c r="F19" s="51" t="s">
        <v>3</v>
      </c>
      <c r="G19" s="51" t="s">
        <v>6</v>
      </c>
      <c r="H19" s="51" t="s">
        <v>911</v>
      </c>
      <c r="I19" s="51" t="s">
        <v>912</v>
      </c>
      <c r="J19" s="51" t="s">
        <v>41</v>
      </c>
      <c r="K19" s="51" t="s">
        <v>59</v>
      </c>
      <c r="L19" s="52">
        <v>46081</v>
      </c>
      <c r="M19" s="52"/>
      <c r="N19" s="52">
        <v>46267</v>
      </c>
      <c r="O19" s="53"/>
      <c r="P19" s="54" t="s">
        <v>44</v>
      </c>
      <c r="Q19" s="16" t="b">
        <v>1</v>
      </c>
      <c r="R19" s="15" t="s">
        <v>179</v>
      </c>
      <c r="S19" s="55" t="s">
        <v>873</v>
      </c>
      <c r="T19" s="172"/>
      <c r="U19" s="172" t="str">
        <f>IF(TablaMigracion[[#This Row],[Fecha requerida]]="","N",IF(TablaMigracion[[#This Row],[Fecha requerida]]&lt;=DATE(2026,4,30),"S","N"))</f>
        <v>S</v>
      </c>
      <c r="V19" s="175" t="s">
        <v>903</v>
      </c>
    </row>
    <row r="20" spans="2:22">
      <c r="B20" s="116">
        <v>18</v>
      </c>
      <c r="C20" s="117" t="s">
        <v>678</v>
      </c>
      <c r="D20" s="49" t="s">
        <v>870</v>
      </c>
      <c r="E20" s="50"/>
      <c r="F20" s="51" t="s">
        <v>3</v>
      </c>
      <c r="G20" s="51" t="s">
        <v>6</v>
      </c>
      <c r="H20" s="51" t="s">
        <v>913</v>
      </c>
      <c r="I20" s="51" t="s">
        <v>887</v>
      </c>
      <c r="J20" s="51" t="s">
        <v>41</v>
      </c>
      <c r="K20" s="51" t="s">
        <v>59</v>
      </c>
      <c r="L20" s="52">
        <v>46101</v>
      </c>
      <c r="M20" s="52"/>
      <c r="N20" s="52"/>
      <c r="O20" s="53"/>
      <c r="P20" s="54" t="s">
        <v>44</v>
      </c>
      <c r="Q20" s="16" t="b">
        <v>1</v>
      </c>
      <c r="R20" s="15" t="s">
        <v>179</v>
      </c>
      <c r="S20" s="55" t="s">
        <v>873</v>
      </c>
      <c r="T20" s="172"/>
      <c r="U20" s="172" t="str">
        <f>IF(TablaMigracion[[#This Row],[Fecha requerida]]="","N",IF(TablaMigracion[[#This Row],[Fecha requerida]]&lt;=DATE(2026,4,30),"S","N"))</f>
        <v>S</v>
      </c>
      <c r="V20" s="175" t="s">
        <v>874</v>
      </c>
    </row>
    <row r="21" spans="2:22" hidden="1">
      <c r="B21" s="116">
        <v>19</v>
      </c>
      <c r="C21" s="117" t="s">
        <v>678</v>
      </c>
      <c r="D21" s="57" t="s">
        <v>882</v>
      </c>
      <c r="E21" s="50"/>
      <c r="F21" s="51" t="s">
        <v>3</v>
      </c>
      <c r="G21" s="51" t="s">
        <v>162</v>
      </c>
      <c r="H21" s="51" t="s">
        <v>914</v>
      </c>
      <c r="I21" s="51" t="s">
        <v>887</v>
      </c>
      <c r="J21" s="51" t="s">
        <v>41</v>
      </c>
      <c r="K21" s="51" t="s">
        <v>59</v>
      </c>
      <c r="L21" s="52">
        <v>46112</v>
      </c>
      <c r="M21" s="52"/>
      <c r="N21" s="52">
        <v>46129</v>
      </c>
      <c r="O21" s="53"/>
      <c r="P21" s="241" t="s">
        <v>696</v>
      </c>
      <c r="Q21" s="16" t="b">
        <v>1</v>
      </c>
      <c r="R21" s="15" t="s">
        <v>169</v>
      </c>
      <c r="S21" s="55" t="s">
        <v>873</v>
      </c>
      <c r="T21" s="172"/>
      <c r="U21" s="172" t="str">
        <f>IF(TablaMigracion[[#This Row],[Fecha requerida]]="","N",IF(TablaMigracion[[#This Row],[Fecha requerida]]&lt;=DATE(2026,4,30),"S","N"))</f>
        <v>S</v>
      </c>
      <c r="V21" s="175" t="s">
        <v>881</v>
      </c>
    </row>
    <row r="22" spans="2:22">
      <c r="B22" s="116">
        <v>20</v>
      </c>
      <c r="C22" s="117" t="s">
        <v>678</v>
      </c>
      <c r="D22" s="49" t="s">
        <v>870</v>
      </c>
      <c r="E22" s="50"/>
      <c r="F22" s="51" t="s">
        <v>3</v>
      </c>
      <c r="G22" s="51" t="s">
        <v>6</v>
      </c>
      <c r="H22" s="51" t="s">
        <v>915</v>
      </c>
      <c r="I22" s="51" t="s">
        <v>916</v>
      </c>
      <c r="J22" s="51" t="s">
        <v>41</v>
      </c>
      <c r="K22" s="51" t="s">
        <v>59</v>
      </c>
      <c r="L22" s="52">
        <v>46101</v>
      </c>
      <c r="M22" s="52">
        <v>46142</v>
      </c>
      <c r="N22" s="52">
        <v>46142</v>
      </c>
      <c r="O22" s="53"/>
      <c r="P22" s="54" t="s">
        <v>44</v>
      </c>
      <c r="Q22" s="16" t="b">
        <v>1</v>
      </c>
      <c r="R22" s="15" t="s">
        <v>179</v>
      </c>
      <c r="S22" s="55" t="s">
        <v>873</v>
      </c>
      <c r="T22" s="172"/>
      <c r="U22" s="172" t="str">
        <f>IF(TablaMigracion[[#This Row],[Fecha requerida]]="","N",IF(TablaMigracion[[#This Row],[Fecha requerida]]&lt;=DATE(2026,4,30),"S","N"))</f>
        <v>S</v>
      </c>
      <c r="V22" s="175" t="s">
        <v>874</v>
      </c>
    </row>
    <row r="23" spans="2:22">
      <c r="B23" s="116">
        <v>21</v>
      </c>
      <c r="C23" s="117" t="s">
        <v>678</v>
      </c>
      <c r="D23" s="57" t="s">
        <v>882</v>
      </c>
      <c r="E23" s="50"/>
      <c r="F23" s="51" t="s">
        <v>3</v>
      </c>
      <c r="G23" s="51" t="s">
        <v>316</v>
      </c>
      <c r="H23" s="51" t="s">
        <v>917</v>
      </c>
      <c r="I23" s="51" t="s">
        <v>918</v>
      </c>
      <c r="J23" s="51" t="s">
        <v>41</v>
      </c>
      <c r="K23" s="51" t="s">
        <v>59</v>
      </c>
      <c r="L23" s="52">
        <v>46112</v>
      </c>
      <c r="M23" s="52"/>
      <c r="N23" s="52">
        <v>46142</v>
      </c>
      <c r="O23" s="53"/>
      <c r="P23" s="54" t="s">
        <v>173</v>
      </c>
      <c r="Q23" s="16" t="b">
        <v>1</v>
      </c>
      <c r="R23" s="15" t="s">
        <v>179</v>
      </c>
      <c r="S23" s="55" t="s">
        <v>873</v>
      </c>
      <c r="T23" s="172"/>
      <c r="U23" s="172" t="str">
        <f>IF(TablaMigracion[[#This Row],[Fecha requerida]]="","N",IF(TablaMigracion[[#This Row],[Fecha requerida]]&lt;=DATE(2026,4,30),"S","N"))</f>
        <v>S</v>
      </c>
      <c r="V23" s="175" t="s">
        <v>881</v>
      </c>
    </row>
    <row r="24" spans="2:22">
      <c r="B24" s="116">
        <v>22</v>
      </c>
      <c r="C24" s="117" t="s">
        <v>678</v>
      </c>
      <c r="D24" s="49" t="s">
        <v>870</v>
      </c>
      <c r="E24" s="50"/>
      <c r="F24" s="51" t="s">
        <v>3</v>
      </c>
      <c r="G24" s="51" t="s">
        <v>316</v>
      </c>
      <c r="H24" s="51" t="s">
        <v>919</v>
      </c>
      <c r="I24" s="51" t="s">
        <v>887</v>
      </c>
      <c r="J24" s="51" t="s">
        <v>41</v>
      </c>
      <c r="K24" s="51" t="s">
        <v>59</v>
      </c>
      <c r="L24" s="52">
        <v>46112</v>
      </c>
      <c r="M24" s="52"/>
      <c r="N24" s="52"/>
      <c r="O24" s="53"/>
      <c r="P24" s="54" t="s">
        <v>173</v>
      </c>
      <c r="Q24" s="16" t="b">
        <v>1</v>
      </c>
      <c r="R24" s="15" t="s">
        <v>179</v>
      </c>
      <c r="S24" s="55" t="s">
        <v>873</v>
      </c>
      <c r="T24" s="172"/>
      <c r="U24" s="172" t="str">
        <f>IF(TablaMigracion[[#This Row],[Fecha requerida]]="","N",IF(TablaMigracion[[#This Row],[Fecha requerida]]&lt;=DATE(2026,4,30),"S","N"))</f>
        <v>S</v>
      </c>
      <c r="V24" s="175" t="s">
        <v>881</v>
      </c>
    </row>
    <row r="25" spans="2:22">
      <c r="B25" s="116">
        <v>23</v>
      </c>
      <c r="C25" s="117" t="s">
        <v>678</v>
      </c>
      <c r="D25" s="57" t="s">
        <v>878</v>
      </c>
      <c r="E25" s="50"/>
      <c r="F25" s="51" t="s">
        <v>3</v>
      </c>
      <c r="G25" s="51" t="s">
        <v>10</v>
      </c>
      <c r="H25" s="51" t="s">
        <v>920</v>
      </c>
      <c r="I25" s="51" t="s">
        <v>921</v>
      </c>
      <c r="J25" s="51" t="s">
        <v>41</v>
      </c>
      <c r="K25" s="51" t="s">
        <v>59</v>
      </c>
      <c r="L25" s="52">
        <v>46142</v>
      </c>
      <c r="M25" s="52"/>
      <c r="N25" s="52"/>
      <c r="O25" s="53"/>
      <c r="P25" s="54" t="s">
        <v>102</v>
      </c>
      <c r="Q25" s="16" t="b">
        <v>1</v>
      </c>
      <c r="R25" s="15" t="s">
        <v>179</v>
      </c>
      <c r="S25" s="55" t="s">
        <v>873</v>
      </c>
      <c r="T25" s="172"/>
      <c r="U25" s="172" t="str">
        <f>IF(TablaMigracion[[#This Row],[Fecha requerida]]="","N",IF(TablaMigracion[[#This Row],[Fecha requerida]]&lt;=DATE(2026,4,30),"S","N"))</f>
        <v>S</v>
      </c>
      <c r="V25" s="175" t="s">
        <v>877</v>
      </c>
    </row>
    <row r="26" spans="2:22" hidden="1">
      <c r="B26" s="116">
        <v>24</v>
      </c>
      <c r="C26" s="117" t="s">
        <v>678</v>
      </c>
      <c r="D26" s="57" t="s">
        <v>882</v>
      </c>
      <c r="E26" s="50"/>
      <c r="F26" s="51" t="s">
        <v>3</v>
      </c>
      <c r="G26" s="51" t="s">
        <v>10</v>
      </c>
      <c r="H26" s="51" t="s">
        <v>922</v>
      </c>
      <c r="I26" s="51" t="s">
        <v>918</v>
      </c>
      <c r="J26" s="51" t="s">
        <v>41</v>
      </c>
      <c r="K26" s="51" t="s">
        <v>59</v>
      </c>
      <c r="L26" s="52">
        <v>46142</v>
      </c>
      <c r="M26" s="52"/>
      <c r="N26" s="52">
        <v>46142</v>
      </c>
      <c r="O26" s="53"/>
      <c r="P26" s="54" t="s">
        <v>102</v>
      </c>
      <c r="Q26" s="16" t="b">
        <v>1</v>
      </c>
      <c r="R26" s="15" t="s">
        <v>169</v>
      </c>
      <c r="S26" s="55" t="s">
        <v>873</v>
      </c>
      <c r="T26" s="172"/>
      <c r="U26" s="172" t="str">
        <f>IF(TablaMigracion[[#This Row],[Fecha requerida]]="","N",IF(TablaMigracion[[#This Row],[Fecha requerida]]&lt;=DATE(2026,4,30),"S","N"))</f>
        <v>S</v>
      </c>
      <c r="V26" s="175" t="s">
        <v>877</v>
      </c>
    </row>
    <row r="27" spans="2:22">
      <c r="B27" s="116">
        <v>25</v>
      </c>
      <c r="C27" s="117" t="s">
        <v>678</v>
      </c>
      <c r="D27" s="49" t="s">
        <v>870</v>
      </c>
      <c r="E27" s="50"/>
      <c r="F27" s="51" t="s">
        <v>3</v>
      </c>
      <c r="G27" s="51" t="s">
        <v>10</v>
      </c>
      <c r="H27" s="51" t="s">
        <v>923</v>
      </c>
      <c r="I27" s="51" t="s">
        <v>887</v>
      </c>
      <c r="J27" s="51" t="s">
        <v>41</v>
      </c>
      <c r="K27" s="51" t="s">
        <v>59</v>
      </c>
      <c r="L27" s="52">
        <v>46112</v>
      </c>
      <c r="M27" s="52"/>
      <c r="N27" s="52"/>
      <c r="O27" s="53"/>
      <c r="P27" s="54" t="s">
        <v>102</v>
      </c>
      <c r="Q27" s="16" t="b">
        <v>1</v>
      </c>
      <c r="R27" s="15" t="s">
        <v>179</v>
      </c>
      <c r="S27" s="55" t="s">
        <v>873</v>
      </c>
      <c r="T27" s="172"/>
      <c r="U27" s="172" t="str">
        <f>IF(TablaMigracion[[#This Row],[Fecha requerida]]="","N",IF(TablaMigracion[[#This Row],[Fecha requerida]]&lt;=DATE(2026,4,30),"S","N"))</f>
        <v>S</v>
      </c>
      <c r="V27" s="175" t="s">
        <v>881</v>
      </c>
    </row>
    <row r="28" spans="2:22" hidden="1">
      <c r="B28" s="116">
        <v>26</v>
      </c>
      <c r="C28" s="117" t="s">
        <v>678</v>
      </c>
      <c r="D28" s="57" t="s">
        <v>878</v>
      </c>
      <c r="E28" s="50"/>
      <c r="F28" s="51" t="s">
        <v>3</v>
      </c>
      <c r="G28" s="51" t="s">
        <v>698</v>
      </c>
      <c r="H28" s="51" t="s">
        <v>924</v>
      </c>
      <c r="I28" s="51" t="s">
        <v>925</v>
      </c>
      <c r="J28" s="51" t="s">
        <v>41</v>
      </c>
      <c r="K28" s="51" t="s">
        <v>59</v>
      </c>
      <c r="L28" s="52">
        <v>46127</v>
      </c>
      <c r="M28" s="52">
        <v>46142</v>
      </c>
      <c r="N28" s="52"/>
      <c r="O28" s="53"/>
      <c r="P28" s="54" t="s">
        <v>186</v>
      </c>
      <c r="Q28" s="16" t="b">
        <v>1</v>
      </c>
      <c r="R28" s="15" t="s">
        <v>169</v>
      </c>
      <c r="S28" s="55" t="s">
        <v>873</v>
      </c>
      <c r="T28" s="172"/>
      <c r="U28" s="172" t="str">
        <f>IF(TablaMigracion[[#This Row],[Fecha requerida]]="","N",IF(TablaMigracion[[#This Row],[Fecha requerida]]&lt;=DATE(2026,4,30),"S","N"))</f>
        <v>S</v>
      </c>
      <c r="V28" s="175" t="s">
        <v>896</v>
      </c>
    </row>
    <row r="29" spans="2:22" hidden="1">
      <c r="B29" s="116">
        <v>27</v>
      </c>
      <c r="C29" s="117" t="s">
        <v>678</v>
      </c>
      <c r="D29" s="57" t="s">
        <v>878</v>
      </c>
      <c r="E29" s="50"/>
      <c r="F29" s="51" t="s">
        <v>3</v>
      </c>
      <c r="G29" s="51" t="s">
        <v>883</v>
      </c>
      <c r="H29" s="51" t="s">
        <v>926</v>
      </c>
      <c r="I29" s="51" t="s">
        <v>927</v>
      </c>
      <c r="J29" s="51" t="s">
        <v>41</v>
      </c>
      <c r="K29" s="51" t="s">
        <v>59</v>
      </c>
      <c r="L29" s="52">
        <v>46299</v>
      </c>
      <c r="M29" s="52"/>
      <c r="N29" s="52"/>
      <c r="O29" s="53"/>
      <c r="P29" s="54" t="s">
        <v>780</v>
      </c>
      <c r="Q29" s="16" t="b">
        <v>0</v>
      </c>
      <c r="R29" s="15" t="s">
        <v>179</v>
      </c>
      <c r="S29" s="55" t="s">
        <v>873</v>
      </c>
      <c r="T29" s="172"/>
      <c r="U29" s="172" t="str">
        <f>IF(TablaMigracion[[#This Row],[Fecha requerida]]="","N",IF(TablaMigracion[[#This Row],[Fecha requerida]]&lt;=DATE(2026,4,30),"S","N"))</f>
        <v>N</v>
      </c>
      <c r="V29" s="175">
        <v>46122</v>
      </c>
    </row>
    <row r="30" spans="2:22" hidden="1">
      <c r="B30" s="116">
        <v>28</v>
      </c>
      <c r="C30" s="117" t="s">
        <v>678</v>
      </c>
      <c r="D30" s="57" t="s">
        <v>882</v>
      </c>
      <c r="E30" s="50"/>
      <c r="F30" s="51" t="s">
        <v>3</v>
      </c>
      <c r="G30" s="51" t="s">
        <v>888</v>
      </c>
      <c r="H30" s="51" t="s">
        <v>928</v>
      </c>
      <c r="I30" s="51" t="s">
        <v>929</v>
      </c>
      <c r="J30" s="51" t="s">
        <v>41</v>
      </c>
      <c r="K30" s="51" t="s">
        <v>59</v>
      </c>
      <c r="L30" s="179">
        <v>46142</v>
      </c>
      <c r="M30" s="179"/>
      <c r="N30" s="52">
        <v>46142</v>
      </c>
      <c r="O30" s="53"/>
      <c r="P30" s="241" t="s">
        <v>891</v>
      </c>
      <c r="Q30" s="16" t="b">
        <v>1</v>
      </c>
      <c r="R30" s="15" t="s">
        <v>169</v>
      </c>
      <c r="S30" s="55" t="s">
        <v>873</v>
      </c>
      <c r="T30" s="172"/>
      <c r="U30" s="172" t="str">
        <f>IF(TablaMigracion[[#This Row],[Fecha requerida]]="","N",IF(TablaMigracion[[#This Row],[Fecha requerida]]&lt;=DATE(2026,4,30),"S","N"))</f>
        <v>S</v>
      </c>
      <c r="V30" s="175" t="s">
        <v>930</v>
      </c>
    </row>
    <row r="31" spans="2:22" hidden="1">
      <c r="B31" s="116">
        <v>29</v>
      </c>
      <c r="C31" s="117" t="s">
        <v>678</v>
      </c>
      <c r="D31" s="57" t="s">
        <v>878</v>
      </c>
      <c r="E31" s="50"/>
      <c r="F31" s="51" t="s">
        <v>3</v>
      </c>
      <c r="G31" s="51" t="s">
        <v>698</v>
      </c>
      <c r="H31" s="51" t="s">
        <v>931</v>
      </c>
      <c r="I31" s="51" t="s">
        <v>925</v>
      </c>
      <c r="J31" s="51" t="s">
        <v>41</v>
      </c>
      <c r="K31" s="51" t="s">
        <v>59</v>
      </c>
      <c r="L31" s="179">
        <v>46127</v>
      </c>
      <c r="M31" s="52">
        <v>46142</v>
      </c>
      <c r="N31" s="52"/>
      <c r="O31" s="53"/>
      <c r="P31" s="54" t="s">
        <v>186</v>
      </c>
      <c r="Q31" s="16" t="b">
        <v>1</v>
      </c>
      <c r="R31" s="15" t="s">
        <v>169</v>
      </c>
      <c r="S31" s="55" t="s">
        <v>873</v>
      </c>
      <c r="T31" s="172"/>
      <c r="U31" s="172" t="str">
        <f>IF(TablaMigracion[[#This Row],[Fecha requerida]]="","N",IF(TablaMigracion[[#This Row],[Fecha requerida]]&lt;=DATE(2026,4,30),"S","N"))</f>
        <v>S</v>
      </c>
      <c r="V31" s="175" t="s">
        <v>896</v>
      </c>
    </row>
    <row r="32" spans="2:22" hidden="1">
      <c r="B32" s="116">
        <v>30</v>
      </c>
      <c r="C32" s="117" t="s">
        <v>678</v>
      </c>
      <c r="D32" s="57" t="s">
        <v>878</v>
      </c>
      <c r="E32" s="50"/>
      <c r="F32" s="51" t="s">
        <v>3</v>
      </c>
      <c r="G32" s="51" t="s">
        <v>698</v>
      </c>
      <c r="H32" s="51" t="s">
        <v>932</v>
      </c>
      <c r="I32" s="51" t="s">
        <v>925</v>
      </c>
      <c r="J32" s="51" t="s">
        <v>41</v>
      </c>
      <c r="K32" s="51" t="s">
        <v>59</v>
      </c>
      <c r="L32" s="179">
        <v>46127</v>
      </c>
      <c r="M32" s="52">
        <v>46142</v>
      </c>
      <c r="N32" s="52"/>
      <c r="O32" s="53"/>
      <c r="P32" s="54" t="s">
        <v>186</v>
      </c>
      <c r="Q32" s="16" t="b">
        <v>1</v>
      </c>
      <c r="R32" s="15" t="s">
        <v>169</v>
      </c>
      <c r="S32" s="55" t="s">
        <v>873</v>
      </c>
      <c r="T32" s="172"/>
      <c r="U32" s="172" t="str">
        <f>IF(TablaMigracion[[#This Row],[Fecha requerida]]="","N",IF(TablaMigracion[[#This Row],[Fecha requerida]]&lt;=DATE(2026,4,30),"S","N"))</f>
        <v>S</v>
      </c>
      <c r="V32" s="175" t="s">
        <v>896</v>
      </c>
    </row>
    <row r="33" spans="2:22">
      <c r="B33" s="116">
        <v>31</v>
      </c>
      <c r="C33" s="117" t="s">
        <v>678</v>
      </c>
      <c r="D33" s="49" t="s">
        <v>870</v>
      </c>
      <c r="E33" s="50"/>
      <c r="F33" s="51" t="s">
        <v>3</v>
      </c>
      <c r="G33" s="51" t="s">
        <v>162</v>
      </c>
      <c r="H33" s="51" t="s">
        <v>933</v>
      </c>
      <c r="I33" s="51" t="s">
        <v>934</v>
      </c>
      <c r="J33" s="51" t="s">
        <v>41</v>
      </c>
      <c r="K33" s="51" t="s">
        <v>59</v>
      </c>
      <c r="L33" s="179">
        <v>46112</v>
      </c>
      <c r="M33" s="179"/>
      <c r="N33" s="52"/>
      <c r="O33" s="53"/>
      <c r="P33" s="54" t="s">
        <v>696</v>
      </c>
      <c r="Q33" s="16" t="b">
        <v>1</v>
      </c>
      <c r="R33" s="15" t="s">
        <v>179</v>
      </c>
      <c r="S33" s="55" t="s">
        <v>873</v>
      </c>
      <c r="T33" s="172"/>
      <c r="U33" s="172" t="str">
        <f>IF(TablaMigracion[[#This Row],[Fecha requerida]]="","N",IF(TablaMigracion[[#This Row],[Fecha requerida]]&lt;=DATE(2026,4,30),"S","N"))</f>
        <v>S</v>
      </c>
      <c r="V33" s="175" t="s">
        <v>881</v>
      </c>
    </row>
    <row r="34" spans="2:22">
      <c r="B34" s="116">
        <v>32</v>
      </c>
      <c r="C34" s="117" t="s">
        <v>678</v>
      </c>
      <c r="D34" s="49" t="s">
        <v>870</v>
      </c>
      <c r="E34" s="50"/>
      <c r="F34" s="51" t="s">
        <v>3</v>
      </c>
      <c r="G34" s="51" t="s">
        <v>46</v>
      </c>
      <c r="H34" s="51" t="s">
        <v>935</v>
      </c>
      <c r="I34" s="51" t="s">
        <v>934</v>
      </c>
      <c r="J34" s="51" t="s">
        <v>41</v>
      </c>
      <c r="K34" s="51" t="s">
        <v>59</v>
      </c>
      <c r="L34" s="179">
        <v>46112</v>
      </c>
      <c r="M34" s="179"/>
      <c r="N34" s="52"/>
      <c r="O34" s="53"/>
      <c r="P34" s="54" t="s">
        <v>44</v>
      </c>
      <c r="Q34" s="16" t="b">
        <v>1</v>
      </c>
      <c r="R34" s="15" t="s">
        <v>179</v>
      </c>
      <c r="S34" s="55" t="s">
        <v>873</v>
      </c>
      <c r="T34" s="172"/>
      <c r="U34" s="172" t="str">
        <f>IF(TablaMigracion[[#This Row],[Fecha requerida]]="","N",IF(TablaMigracion[[#This Row],[Fecha requerida]]&lt;=DATE(2026,4,30),"S","N"))</f>
        <v>S</v>
      </c>
      <c r="V34" s="175" t="s">
        <v>881</v>
      </c>
    </row>
    <row r="35" spans="2:22">
      <c r="B35" s="116">
        <v>33</v>
      </c>
      <c r="C35" s="118" t="s">
        <v>678</v>
      </c>
      <c r="D35" s="57" t="s">
        <v>878</v>
      </c>
      <c r="E35" s="50"/>
      <c r="F35" s="51" t="s">
        <v>3</v>
      </c>
      <c r="G35" s="51" t="s">
        <v>6</v>
      </c>
      <c r="H35" s="51" t="s">
        <v>936</v>
      </c>
      <c r="I35" s="51" t="s">
        <v>900</v>
      </c>
      <c r="J35" s="51" t="s">
        <v>41</v>
      </c>
      <c r="K35" s="51" t="s">
        <v>59</v>
      </c>
      <c r="L35" s="179">
        <v>46142</v>
      </c>
      <c r="M35" s="179"/>
      <c r="N35" s="52"/>
      <c r="O35" s="53"/>
      <c r="P35" s="54" t="s">
        <v>44</v>
      </c>
      <c r="Q35" s="16" t="b">
        <v>1</v>
      </c>
      <c r="R35" s="15" t="s">
        <v>179</v>
      </c>
      <c r="S35" s="55" t="s">
        <v>873</v>
      </c>
      <c r="T35" s="172"/>
      <c r="U35" s="172" t="str">
        <f>IF(TablaMigracion[[#This Row],[Fecha requerida]]="","N",IF(TablaMigracion[[#This Row],[Fecha requerida]]&lt;=DATE(2026,4,30),"S","N"))</f>
        <v>S</v>
      </c>
      <c r="V35" s="175" t="s">
        <v>877</v>
      </c>
    </row>
    <row r="37" spans="2:22">
      <c r="N37"/>
      <c r="O37"/>
    </row>
    <row r="38" spans="2:22">
      <c r="N38" s="71"/>
      <c r="O38"/>
      <c r="P38"/>
    </row>
    <row r="39" spans="2:22">
      <c r="N39" s="71"/>
      <c r="O39"/>
      <c r="P39"/>
    </row>
    <row r="40" spans="2:22">
      <c r="N40" s="71"/>
      <c r="O40"/>
      <c r="P40"/>
    </row>
    <row r="41" spans="2:22">
      <c r="N41" s="71"/>
      <c r="O41"/>
      <c r="P41"/>
    </row>
    <row r="42" spans="2:22">
      <c r="N42" s="71"/>
      <c r="O42"/>
      <c r="P42"/>
    </row>
    <row r="43" spans="2:22">
      <c r="N43" s="71"/>
      <c r="O43"/>
      <c r="P43"/>
    </row>
    <row r="44" spans="2:22">
      <c r="N44" s="71"/>
      <c r="O44"/>
      <c r="P44"/>
    </row>
    <row r="45" spans="2:22">
      <c r="N45" s="71"/>
      <c r="O45"/>
      <c r="P45"/>
    </row>
    <row r="46" spans="2:22">
      <c r="N46" s="71"/>
      <c r="O46"/>
      <c r="P46"/>
    </row>
    <row r="47" spans="2:22">
      <c r="N47" s="71"/>
      <c r="O47"/>
      <c r="P47"/>
    </row>
    <row r="48" spans="2:22">
      <c r="N48" s="71"/>
      <c r="O48"/>
      <c r="P48"/>
    </row>
    <row r="49" spans="14:16">
      <c r="N49" s="71"/>
      <c r="O49"/>
      <c r="P49"/>
    </row>
    <row r="996" ht="170.25" customHeight="1"/>
  </sheetData>
  <protectedRanges>
    <protectedRange sqref="C1:C1048576" name="Rango1"/>
    <protectedRange sqref="C1:C1048576" name="Rango2"/>
  </protectedRanges>
  <dataValidations count="1">
    <dataValidation type="date" allowBlank="1" showInputMessage="1" showErrorMessage="1" sqref="N5:N36 L1:M1048576" xr:uid="{44C9E84A-965B-4E8B-9771-195470D61476}">
      <formula1>46023</formula1>
      <formula2>46387</formula2>
    </dataValidation>
  </dataValidations>
  <pageMargins left="0.7" right="0.7" top="0.75" bottom="0.75" header="0.3" footer="0.3"/>
  <pageSetup paperSize="9" orientation="portrait" r:id="rId1"/>
  <legacyDrawing r:id="rId2"/>
  <tableParts count="1">
    <tablePart r:id="rId3"/>
  </tableParts>
  <extLst>
    <ext xmlns:x14="http://schemas.microsoft.com/office/spreadsheetml/2009/9/main" uri="{CCE6A557-97BC-4b89-ADB6-D9C93CAAB3DF}">
      <x14:dataValidations xmlns:xm="http://schemas.microsoft.com/office/excel/2006/main" count="3">
        <x14:dataValidation type="list" allowBlank="1" showInputMessage="1" showErrorMessage="1" xr:uid="{6C48BDD8-B127-44FC-BAC5-AA6128499A5A}">
          <x14:formula1>
            <xm:f>Catálogo!$B$3:$B$8</xm:f>
          </x14:formula1>
          <xm:sqref>J3 J5:J35</xm:sqref>
        </x14:dataValidation>
        <x14:dataValidation type="list" allowBlank="1" showInputMessage="1" showErrorMessage="1" xr:uid="{8E99C1C7-0722-4674-88B7-4B47C51B84F6}">
          <x14:formula1>
            <xm:f>Catálogo!$C$3:$C$5</xm:f>
          </x14:formula1>
          <xm:sqref>K5:K35 K3</xm:sqref>
        </x14:dataValidation>
        <x14:dataValidation type="list" allowBlank="1" showInputMessage="1" showErrorMessage="1" xr:uid="{3574B427-63CE-49E9-B1C1-E57F16CE2517}">
          <x14:formula1>
            <xm:f>Parametros!$B$2:$B$6</xm:f>
          </x14:formula1>
          <xm:sqref>R3:R35</xm:sqref>
        </x14:dataValidation>
      </x14:dataValidations>
    </ext>
  </extLs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3BD15-D75C-4A5A-A3F1-4B7C9064D124}">
  <dimension ref="B1:U30"/>
  <sheetViews>
    <sheetView showGridLines="0" topLeftCell="H1" zoomScaleNormal="100" workbookViewId="0">
      <selection activeCell="P8" sqref="P8:P17"/>
    </sheetView>
  </sheetViews>
  <sheetFormatPr baseColWidth="10" defaultColWidth="11.453125" defaultRowHeight="15" customHeight="1"/>
  <cols>
    <col min="1" max="1" width="2.453125" customWidth="1"/>
    <col min="2" max="2" width="12" customWidth="1"/>
    <col min="3" max="3" width="11.54296875" customWidth="1"/>
    <col min="4" max="4" width="12.1796875" customWidth="1"/>
    <col min="5" max="5" width="6" customWidth="1"/>
    <col min="6" max="6" width="17.453125" style="1" customWidth="1"/>
    <col min="7" max="7" width="14.453125" style="1" customWidth="1"/>
    <col min="8" max="8" width="17.81640625" style="1" bestFit="1" customWidth="1"/>
    <col min="9" max="9" width="17" style="1" bestFit="1" customWidth="1"/>
    <col min="10" max="10" width="17.453125" style="1" bestFit="1" customWidth="1"/>
    <col min="11" max="11" width="12.453125" style="1" customWidth="1"/>
    <col min="12" max="13" width="19.54296875" style="1" customWidth="1"/>
    <col min="14" max="14" width="19.54296875" style="8" customWidth="1"/>
    <col min="15" max="15" width="15.54296875" style="1" customWidth="1"/>
    <col min="16" max="16" width="14.1796875" style="1" customWidth="1"/>
    <col min="17" max="17" width="14.1796875" customWidth="1"/>
    <col min="18" max="18" width="20.54296875" style="6" customWidth="1"/>
  </cols>
  <sheetData>
    <row r="1" spans="2:21" ht="9" customHeight="1"/>
    <row r="2" spans="2:21" s="3" customFormat="1" ht="12">
      <c r="B2" s="10" t="s">
        <v>80</v>
      </c>
      <c r="C2" s="10" t="s">
        <v>0</v>
      </c>
      <c r="D2" s="10" t="s">
        <v>20</v>
      </c>
      <c r="E2" s="3" t="s">
        <v>81</v>
      </c>
      <c r="F2" s="4" t="s">
        <v>22</v>
      </c>
      <c r="G2" s="4" t="s">
        <v>23</v>
      </c>
      <c r="H2" s="4" t="s">
        <v>24</v>
      </c>
      <c r="I2" s="4" t="s">
        <v>25</v>
      </c>
      <c r="J2" s="5" t="s">
        <v>26</v>
      </c>
      <c r="K2" s="5" t="s">
        <v>27</v>
      </c>
      <c r="L2" s="5" t="s">
        <v>28</v>
      </c>
      <c r="M2" s="5" t="s">
        <v>82</v>
      </c>
      <c r="N2" s="9" t="s">
        <v>29</v>
      </c>
      <c r="O2" s="7" t="s">
        <v>30</v>
      </c>
      <c r="P2" s="4" t="s">
        <v>31</v>
      </c>
      <c r="Q2" s="3" t="s">
        <v>32</v>
      </c>
      <c r="R2" s="4" t="s">
        <v>33</v>
      </c>
      <c r="S2" s="3" t="s">
        <v>34</v>
      </c>
      <c r="T2" s="3" t="s">
        <v>83</v>
      </c>
      <c r="U2" s="174" t="s">
        <v>84</v>
      </c>
    </row>
    <row r="3" spans="2:21" ht="14.5" hidden="1">
      <c r="B3" s="12">
        <v>1</v>
      </c>
      <c r="C3" s="119" t="s">
        <v>9</v>
      </c>
      <c r="D3" s="11" t="s">
        <v>937</v>
      </c>
      <c r="E3" s="2"/>
      <c r="F3" s="2" t="s">
        <v>9</v>
      </c>
      <c r="G3" s="13" t="s">
        <v>38</v>
      </c>
      <c r="H3" s="13" t="s">
        <v>938</v>
      </c>
      <c r="I3" s="13" t="s">
        <v>939</v>
      </c>
      <c r="J3" s="13" t="s">
        <v>41</v>
      </c>
      <c r="K3" s="13" t="s">
        <v>59</v>
      </c>
      <c r="L3" s="14"/>
      <c r="M3" s="14"/>
      <c r="N3" s="14"/>
      <c r="O3" s="13"/>
      <c r="P3" s="13" t="s">
        <v>940</v>
      </c>
      <c r="Q3" s="58" t="b">
        <v>1</v>
      </c>
      <c r="R3" s="15" t="s">
        <v>179</v>
      </c>
      <c r="S3" s="27" t="s">
        <v>9</v>
      </c>
      <c r="T3" s="27"/>
      <c r="U3" s="27" t="str">
        <f>IF(TablaIntegracion[[#This Row],[Fecha requerida]]="","N",IF(TablaIntegracion[[#This Row],[Fecha requerida]]&lt;=DATE(2026,4,30),"S","N"))</f>
        <v>N</v>
      </c>
    </row>
    <row r="4" spans="2:21" ht="14.5" hidden="1">
      <c r="B4" s="12">
        <v>2</v>
      </c>
      <c r="C4" s="119" t="s">
        <v>9</v>
      </c>
      <c r="D4" s="11" t="s">
        <v>937</v>
      </c>
      <c r="E4" s="2"/>
      <c r="F4" s="2" t="s">
        <v>9</v>
      </c>
      <c r="G4" s="13" t="s">
        <v>38</v>
      </c>
      <c r="H4" s="13" t="s">
        <v>938</v>
      </c>
      <c r="I4" s="13" t="s">
        <v>941</v>
      </c>
      <c r="J4" s="13" t="s">
        <v>41</v>
      </c>
      <c r="K4" s="13" t="s">
        <v>59</v>
      </c>
      <c r="L4" s="14"/>
      <c r="M4" s="14"/>
      <c r="N4" s="14"/>
      <c r="O4" s="13"/>
      <c r="P4" s="13" t="s">
        <v>940</v>
      </c>
      <c r="Q4" s="58" t="b">
        <v>1</v>
      </c>
      <c r="R4" s="15" t="s">
        <v>179</v>
      </c>
      <c r="S4" s="27" t="s">
        <v>9</v>
      </c>
      <c r="T4" s="27"/>
      <c r="U4" s="27" t="str">
        <f>IF(TablaIntegracion[[#This Row],[Fecha requerida]]="","N",IF(TablaIntegracion[[#This Row],[Fecha requerida]]&lt;=DATE(2026,4,30),"S","N"))</f>
        <v>N</v>
      </c>
    </row>
    <row r="5" spans="2:21" ht="14.5" hidden="1">
      <c r="B5" s="12">
        <v>3</v>
      </c>
      <c r="C5" s="119" t="s">
        <v>9</v>
      </c>
      <c r="D5" s="11" t="s">
        <v>937</v>
      </c>
      <c r="E5" s="2"/>
      <c r="F5" s="2" t="s">
        <v>9</v>
      </c>
      <c r="G5" s="13" t="s">
        <v>38</v>
      </c>
      <c r="H5" s="13" t="s">
        <v>938</v>
      </c>
      <c r="I5" s="13" t="s">
        <v>942</v>
      </c>
      <c r="J5" s="13" t="s">
        <v>41</v>
      </c>
      <c r="K5" s="13" t="s">
        <v>59</v>
      </c>
      <c r="L5" s="14"/>
      <c r="M5" s="14"/>
      <c r="N5" s="14"/>
      <c r="O5" s="13"/>
      <c r="P5" s="13" t="s">
        <v>940</v>
      </c>
      <c r="Q5" s="58" t="b">
        <v>1</v>
      </c>
      <c r="R5" s="15" t="s">
        <v>179</v>
      </c>
      <c r="S5" s="27" t="s">
        <v>9</v>
      </c>
      <c r="T5" s="27"/>
      <c r="U5" s="27" t="str">
        <f>IF(TablaIntegracion[[#This Row],[Fecha requerida]]="","N",IF(TablaIntegracion[[#This Row],[Fecha requerida]]&lt;=DATE(2026,4,30),"S","N"))</f>
        <v>N</v>
      </c>
    </row>
    <row r="6" spans="2:21" ht="14.5" hidden="1">
      <c r="B6" s="12">
        <v>4</v>
      </c>
      <c r="C6" s="119" t="s">
        <v>9</v>
      </c>
      <c r="D6" s="11" t="s">
        <v>937</v>
      </c>
      <c r="E6" s="2"/>
      <c r="F6" s="2" t="s">
        <v>9</v>
      </c>
      <c r="G6" s="13" t="s">
        <v>38</v>
      </c>
      <c r="H6" s="13" t="s">
        <v>938</v>
      </c>
      <c r="I6" s="13" t="s">
        <v>943</v>
      </c>
      <c r="J6" s="13" t="s">
        <v>41</v>
      </c>
      <c r="K6" s="13" t="s">
        <v>59</v>
      </c>
      <c r="L6" s="14"/>
      <c r="M6" s="14"/>
      <c r="N6" s="14"/>
      <c r="O6" s="13"/>
      <c r="P6" s="13" t="s">
        <v>940</v>
      </c>
      <c r="Q6" s="58" t="b">
        <v>1</v>
      </c>
      <c r="R6" s="15" t="s">
        <v>179</v>
      </c>
      <c r="S6" s="27" t="s">
        <v>9</v>
      </c>
      <c r="T6" s="27"/>
      <c r="U6" s="27" t="str">
        <f>IF(TablaIntegracion[[#This Row],[Fecha requerida]]="","N",IF(TablaIntegracion[[#This Row],[Fecha requerida]]&lt;=DATE(2026,4,30),"S","N"))</f>
        <v>N</v>
      </c>
    </row>
    <row r="7" spans="2:21" ht="14.5" hidden="1">
      <c r="B7" s="12">
        <v>5</v>
      </c>
      <c r="C7" s="119" t="s">
        <v>9</v>
      </c>
      <c r="D7" s="11" t="s">
        <v>937</v>
      </c>
      <c r="E7" s="2"/>
      <c r="F7" s="2" t="s">
        <v>9</v>
      </c>
      <c r="G7" s="13" t="s">
        <v>38</v>
      </c>
      <c r="H7" s="13" t="s">
        <v>938</v>
      </c>
      <c r="I7" s="13" t="s">
        <v>944</v>
      </c>
      <c r="J7" s="13" t="s">
        <v>41</v>
      </c>
      <c r="K7" s="13" t="s">
        <v>59</v>
      </c>
      <c r="L7" s="14"/>
      <c r="M7" s="14"/>
      <c r="N7" s="14"/>
      <c r="O7" s="13"/>
      <c r="P7" s="13" t="s">
        <v>940</v>
      </c>
      <c r="Q7" s="58" t="b">
        <v>1</v>
      </c>
      <c r="R7" s="15" t="s">
        <v>179</v>
      </c>
      <c r="S7" s="27" t="s">
        <v>9</v>
      </c>
      <c r="T7" s="27"/>
      <c r="U7" s="27" t="str">
        <f>IF(TablaIntegracion[[#This Row],[Fecha requerida]]="","N",IF(TablaIntegracion[[#This Row],[Fecha requerida]]&lt;=DATE(2026,4,30),"S","N"))</f>
        <v>N</v>
      </c>
    </row>
    <row r="8" spans="2:21" ht="14.5">
      <c r="B8" s="12">
        <v>6</v>
      </c>
      <c r="C8" s="119" t="s">
        <v>9</v>
      </c>
      <c r="D8" s="11" t="s">
        <v>937</v>
      </c>
      <c r="E8" s="2"/>
      <c r="F8" s="2" t="s">
        <v>9</v>
      </c>
      <c r="G8" s="13" t="s">
        <v>38</v>
      </c>
      <c r="H8" s="13" t="s">
        <v>938</v>
      </c>
      <c r="I8" s="13" t="s">
        <v>945</v>
      </c>
      <c r="J8" s="13" t="s">
        <v>41</v>
      </c>
      <c r="K8" s="13" t="s">
        <v>59</v>
      </c>
      <c r="L8" s="14">
        <v>46098</v>
      </c>
      <c r="M8" s="14"/>
      <c r="N8" s="14">
        <v>46098</v>
      </c>
      <c r="O8" s="13"/>
      <c r="P8" s="13" t="s">
        <v>940</v>
      </c>
      <c r="Q8" s="58" t="b">
        <v>1</v>
      </c>
      <c r="R8" s="15" t="s">
        <v>179</v>
      </c>
      <c r="S8" s="27" t="s">
        <v>9</v>
      </c>
      <c r="T8" s="27"/>
      <c r="U8" s="27" t="str">
        <f>IF(TablaIntegracion[[#This Row],[Fecha requerida]]="","N",IF(TablaIntegracion[[#This Row],[Fecha requerida]]&lt;=DATE(2026,4,30),"S","N"))</f>
        <v>S</v>
      </c>
    </row>
    <row r="9" spans="2:21" ht="14.5">
      <c r="B9" s="12">
        <v>7</v>
      </c>
      <c r="C9" s="119" t="s">
        <v>9</v>
      </c>
      <c r="D9" s="11" t="s">
        <v>937</v>
      </c>
      <c r="E9" s="2"/>
      <c r="F9" s="2" t="s">
        <v>9</v>
      </c>
      <c r="G9" s="13" t="s">
        <v>38</v>
      </c>
      <c r="H9" s="13" t="s">
        <v>946</v>
      </c>
      <c r="I9" s="13" t="s">
        <v>947</v>
      </c>
      <c r="J9" s="13" t="s">
        <v>41</v>
      </c>
      <c r="K9" s="13" t="s">
        <v>59</v>
      </c>
      <c r="L9" s="14">
        <v>46101</v>
      </c>
      <c r="M9" s="14"/>
      <c r="N9" s="14">
        <v>46101</v>
      </c>
      <c r="O9" s="13"/>
      <c r="P9" s="13" t="s">
        <v>940</v>
      </c>
      <c r="Q9" s="58" t="b">
        <v>1</v>
      </c>
      <c r="R9" s="15" t="s">
        <v>179</v>
      </c>
      <c r="S9" s="27" t="s">
        <v>9</v>
      </c>
      <c r="T9" s="27"/>
      <c r="U9" s="27" t="str">
        <f>IF(TablaIntegracion[[#This Row],[Fecha requerida]]="","N",IF(TablaIntegracion[[#This Row],[Fecha requerida]]&lt;=DATE(2026,4,30),"S","N"))</f>
        <v>S</v>
      </c>
    </row>
    <row r="10" spans="2:21" ht="14.5">
      <c r="B10" s="12">
        <v>8</v>
      </c>
      <c r="C10" s="119" t="s">
        <v>9</v>
      </c>
      <c r="D10" s="11" t="s">
        <v>937</v>
      </c>
      <c r="E10" s="2"/>
      <c r="F10" s="2" t="s">
        <v>9</v>
      </c>
      <c r="G10" s="13" t="s">
        <v>38</v>
      </c>
      <c r="H10" s="13" t="s">
        <v>946</v>
      </c>
      <c r="I10" s="13" t="s">
        <v>948</v>
      </c>
      <c r="J10" s="13" t="s">
        <v>41</v>
      </c>
      <c r="K10" s="13" t="s">
        <v>59</v>
      </c>
      <c r="L10" s="14">
        <v>46098</v>
      </c>
      <c r="M10" s="14"/>
      <c r="N10" s="14">
        <v>46098</v>
      </c>
      <c r="O10" s="13"/>
      <c r="P10" s="13" t="s">
        <v>940</v>
      </c>
      <c r="Q10" s="58" t="b">
        <v>1</v>
      </c>
      <c r="R10" s="15" t="s">
        <v>179</v>
      </c>
      <c r="S10" s="27" t="s">
        <v>9</v>
      </c>
      <c r="T10" s="27"/>
      <c r="U10" s="27" t="str">
        <f>IF(TablaIntegracion[[#This Row],[Fecha requerida]]="","N",IF(TablaIntegracion[[#This Row],[Fecha requerida]]&lt;=DATE(2026,4,30),"S","N"))</f>
        <v>S</v>
      </c>
    </row>
    <row r="11" spans="2:21" ht="14.5">
      <c r="B11" s="12">
        <v>9</v>
      </c>
      <c r="C11" s="119" t="s">
        <v>9</v>
      </c>
      <c r="D11" s="11" t="s">
        <v>937</v>
      </c>
      <c r="E11" s="2"/>
      <c r="F11" s="2" t="s">
        <v>9</v>
      </c>
      <c r="G11" s="13" t="s">
        <v>38</v>
      </c>
      <c r="H11" s="13" t="s">
        <v>946</v>
      </c>
      <c r="I11" s="13" t="s">
        <v>949</v>
      </c>
      <c r="J11" s="13" t="s">
        <v>41</v>
      </c>
      <c r="K11" s="13" t="s">
        <v>59</v>
      </c>
      <c r="L11" s="14">
        <v>46101</v>
      </c>
      <c r="M11" s="14"/>
      <c r="N11" s="14">
        <v>46101</v>
      </c>
      <c r="O11" s="13"/>
      <c r="P11" s="13" t="s">
        <v>940</v>
      </c>
      <c r="Q11" s="58" t="b">
        <v>1</v>
      </c>
      <c r="R11" s="15" t="s">
        <v>179</v>
      </c>
      <c r="S11" s="27" t="s">
        <v>9</v>
      </c>
      <c r="T11" s="27"/>
      <c r="U11" s="27" t="str">
        <f>IF(TablaIntegracion[[#This Row],[Fecha requerida]]="","N",IF(TablaIntegracion[[#This Row],[Fecha requerida]]&lt;=DATE(2026,4,30),"S","N"))</f>
        <v>S</v>
      </c>
    </row>
    <row r="12" spans="2:21" ht="14.5">
      <c r="B12" s="12">
        <v>10</v>
      </c>
      <c r="C12" s="119" t="s">
        <v>9</v>
      </c>
      <c r="D12" s="11" t="s">
        <v>937</v>
      </c>
      <c r="E12" s="2"/>
      <c r="F12" s="2" t="s">
        <v>9</v>
      </c>
      <c r="G12" s="13" t="s">
        <v>38</v>
      </c>
      <c r="H12" s="13" t="s">
        <v>946</v>
      </c>
      <c r="I12" s="13" t="s">
        <v>950</v>
      </c>
      <c r="J12" s="13" t="s">
        <v>41</v>
      </c>
      <c r="K12" s="13" t="s">
        <v>59</v>
      </c>
      <c r="L12" s="14">
        <v>46107</v>
      </c>
      <c r="M12" s="14"/>
      <c r="N12" s="14">
        <v>46107</v>
      </c>
      <c r="O12" s="13"/>
      <c r="P12" s="13" t="s">
        <v>940</v>
      </c>
      <c r="Q12" s="58" t="b">
        <v>1</v>
      </c>
      <c r="R12" s="15" t="s">
        <v>179</v>
      </c>
      <c r="S12" s="27" t="s">
        <v>9</v>
      </c>
      <c r="T12" s="27"/>
      <c r="U12" s="27" t="str">
        <f>IF(TablaIntegracion[[#This Row],[Fecha requerida]]="","N",IF(TablaIntegracion[[#This Row],[Fecha requerida]]&lt;=DATE(2026,4,30),"S","N"))</f>
        <v>S</v>
      </c>
    </row>
    <row r="13" spans="2:21" ht="14.5">
      <c r="B13" s="12">
        <v>11</v>
      </c>
      <c r="C13" s="119" t="s">
        <v>9</v>
      </c>
      <c r="D13" s="11" t="s">
        <v>937</v>
      </c>
      <c r="E13" s="2"/>
      <c r="F13" s="2" t="s">
        <v>9</v>
      </c>
      <c r="G13" s="13" t="s">
        <v>38</v>
      </c>
      <c r="H13" s="13" t="s">
        <v>946</v>
      </c>
      <c r="I13" s="13" t="s">
        <v>951</v>
      </c>
      <c r="J13" s="13" t="s">
        <v>41</v>
      </c>
      <c r="K13" s="13" t="s">
        <v>59</v>
      </c>
      <c r="L13" s="14">
        <v>46100</v>
      </c>
      <c r="M13" s="14"/>
      <c r="N13" s="14">
        <v>46100</v>
      </c>
      <c r="O13" s="13"/>
      <c r="P13" s="13" t="s">
        <v>940</v>
      </c>
      <c r="Q13" s="58" t="b">
        <v>1</v>
      </c>
      <c r="R13" s="15" t="s">
        <v>179</v>
      </c>
      <c r="S13" s="27" t="s">
        <v>9</v>
      </c>
      <c r="T13" s="27"/>
      <c r="U13" s="27" t="str">
        <f>IF(TablaIntegracion[[#This Row],[Fecha requerida]]="","N",IF(TablaIntegracion[[#This Row],[Fecha requerida]]&lt;=DATE(2026,4,30),"S","N"))</f>
        <v>S</v>
      </c>
    </row>
    <row r="14" spans="2:21" ht="14.5">
      <c r="B14" s="12">
        <v>12</v>
      </c>
      <c r="C14" s="119" t="s">
        <v>9</v>
      </c>
      <c r="D14" s="11" t="s">
        <v>937</v>
      </c>
      <c r="E14" s="2"/>
      <c r="F14" s="2" t="s">
        <v>9</v>
      </c>
      <c r="G14" s="13" t="s">
        <v>4</v>
      </c>
      <c r="H14" s="13" t="s">
        <v>952</v>
      </c>
      <c r="I14" s="13" t="s">
        <v>953</v>
      </c>
      <c r="J14" s="13" t="s">
        <v>267</v>
      </c>
      <c r="K14" s="13" t="s">
        <v>42</v>
      </c>
      <c r="L14" s="14">
        <v>46112</v>
      </c>
      <c r="M14" s="14"/>
      <c r="N14" s="14">
        <v>46112</v>
      </c>
      <c r="O14" s="13"/>
      <c r="P14" s="13" t="s">
        <v>954</v>
      </c>
      <c r="Q14" s="58" t="b">
        <v>1</v>
      </c>
      <c r="R14" s="15" t="s">
        <v>179</v>
      </c>
      <c r="S14" s="27" t="s">
        <v>9</v>
      </c>
      <c r="T14" s="27"/>
      <c r="U14" s="27" t="str">
        <f>IF(TablaIntegracion[[#This Row],[Fecha requerida]]="","N",IF(TablaIntegracion[[#This Row],[Fecha requerida]]&lt;=DATE(2026,4,30),"S","N"))</f>
        <v>S</v>
      </c>
    </row>
    <row r="15" spans="2:21" ht="14.5">
      <c r="B15" s="12">
        <v>13</v>
      </c>
      <c r="C15" s="119" t="s">
        <v>9</v>
      </c>
      <c r="D15" s="11" t="s">
        <v>937</v>
      </c>
      <c r="E15" s="2"/>
      <c r="F15" s="2" t="s">
        <v>9</v>
      </c>
      <c r="G15" s="13" t="s">
        <v>4</v>
      </c>
      <c r="H15" s="13" t="s">
        <v>952</v>
      </c>
      <c r="I15" s="13" t="s">
        <v>955</v>
      </c>
      <c r="J15" s="13" t="s">
        <v>267</v>
      </c>
      <c r="K15" s="13" t="s">
        <v>42</v>
      </c>
      <c r="L15" s="14">
        <v>46112</v>
      </c>
      <c r="M15" s="14"/>
      <c r="N15" s="14">
        <v>46127</v>
      </c>
      <c r="O15" s="13"/>
      <c r="P15" s="13" t="s">
        <v>954</v>
      </c>
      <c r="Q15" s="58" t="b">
        <v>1</v>
      </c>
      <c r="R15" s="15" t="s">
        <v>91</v>
      </c>
      <c r="S15" s="27" t="s">
        <v>9</v>
      </c>
      <c r="T15" s="27"/>
      <c r="U15" s="27" t="str">
        <f>IF(TablaIntegracion[[#This Row],[Fecha requerida]]="","N",IF(TablaIntegracion[[#This Row],[Fecha requerida]]&lt;=DATE(2026,4,30),"S","N"))</f>
        <v>S</v>
      </c>
    </row>
    <row r="16" spans="2:21" ht="14.5">
      <c r="B16" s="12">
        <v>14</v>
      </c>
      <c r="C16" s="119" t="s">
        <v>9</v>
      </c>
      <c r="D16" s="11" t="s">
        <v>937</v>
      </c>
      <c r="E16" s="2"/>
      <c r="F16" s="2" t="s">
        <v>9</v>
      </c>
      <c r="G16" s="13" t="s">
        <v>4</v>
      </c>
      <c r="H16" s="13" t="s">
        <v>952</v>
      </c>
      <c r="I16" s="13" t="s">
        <v>956</v>
      </c>
      <c r="J16" s="13" t="s">
        <v>267</v>
      </c>
      <c r="K16" s="13" t="s">
        <v>42</v>
      </c>
      <c r="L16" s="14">
        <v>46112</v>
      </c>
      <c r="M16" s="14"/>
      <c r="N16" s="14">
        <v>46171</v>
      </c>
      <c r="O16" s="13"/>
      <c r="P16" s="13" t="s">
        <v>954</v>
      </c>
      <c r="Q16" s="58" t="b">
        <v>1</v>
      </c>
      <c r="R16" s="15" t="s">
        <v>91</v>
      </c>
      <c r="S16" s="27" t="s">
        <v>9</v>
      </c>
      <c r="T16" s="27"/>
      <c r="U16" s="27" t="str">
        <f>IF(TablaIntegracion[[#This Row],[Fecha requerida]]="","N",IF(TablaIntegracion[[#This Row],[Fecha requerida]]&lt;=DATE(2026,4,30),"S","N"))</f>
        <v>S</v>
      </c>
    </row>
    <row r="17" spans="2:21" ht="14.5">
      <c r="B17" s="12">
        <v>15</v>
      </c>
      <c r="C17" s="119" t="s">
        <v>9</v>
      </c>
      <c r="D17" s="11" t="s">
        <v>937</v>
      </c>
      <c r="E17" s="2"/>
      <c r="F17" s="2" t="s">
        <v>9</v>
      </c>
      <c r="G17" s="13" t="s">
        <v>957</v>
      </c>
      <c r="H17" s="13" t="s">
        <v>958</v>
      </c>
      <c r="I17" s="13" t="s">
        <v>959</v>
      </c>
      <c r="J17" s="13" t="s">
        <v>267</v>
      </c>
      <c r="K17" s="13" t="s">
        <v>42</v>
      </c>
      <c r="L17" s="14">
        <v>46112</v>
      </c>
      <c r="M17" s="14"/>
      <c r="N17" s="14">
        <v>46127</v>
      </c>
      <c r="O17" s="13"/>
      <c r="P17" s="13" t="s">
        <v>960</v>
      </c>
      <c r="Q17" s="58" t="b">
        <v>1</v>
      </c>
      <c r="R17" s="15" t="s">
        <v>91</v>
      </c>
      <c r="S17" s="27" t="s">
        <v>9</v>
      </c>
      <c r="T17" s="27"/>
      <c r="U17" s="27" t="str">
        <f>IF(TablaIntegracion[[#This Row],[Fecha requerida]]="","N",IF(TablaIntegracion[[#This Row],[Fecha requerida]]&lt;=DATE(2026,4,30),"S","N"))</f>
        <v>S</v>
      </c>
    </row>
    <row r="19" spans="2:21" ht="15" customHeight="1">
      <c r="H19"/>
      <c r="I19"/>
      <c r="J19"/>
    </row>
    <row r="20" spans="2:21" ht="15" customHeight="1">
      <c r="H20"/>
      <c r="I20"/>
      <c r="J20"/>
    </row>
    <row r="21" spans="2:21" ht="15" customHeight="1">
      <c r="H21"/>
      <c r="I21"/>
      <c r="J21"/>
    </row>
    <row r="22" spans="2:21" ht="15" customHeight="1">
      <c r="H22"/>
      <c r="I22"/>
      <c r="J22"/>
    </row>
    <row r="23" spans="2:21" ht="15" customHeight="1">
      <c r="H23"/>
      <c r="I23"/>
      <c r="J23"/>
    </row>
    <row r="24" spans="2:21" ht="15" customHeight="1">
      <c r="H24"/>
      <c r="I24"/>
      <c r="J24"/>
    </row>
    <row r="25" spans="2:21" ht="15" customHeight="1">
      <c r="H25"/>
      <c r="I25"/>
      <c r="J25"/>
    </row>
    <row r="26" spans="2:21" ht="15" customHeight="1">
      <c r="H26"/>
      <c r="I26"/>
      <c r="J26"/>
    </row>
    <row r="27" spans="2:21" ht="15" customHeight="1">
      <c r="H27"/>
      <c r="I27"/>
      <c r="J27"/>
    </row>
    <row r="28" spans="2:21" ht="15" customHeight="1">
      <c r="H28"/>
      <c r="I28"/>
      <c r="J28"/>
    </row>
    <row r="29" spans="2:21" ht="15" customHeight="1">
      <c r="H29"/>
      <c r="I29"/>
      <c r="J29"/>
    </row>
    <row r="30" spans="2:21" ht="15" customHeight="1">
      <c r="H30"/>
      <c r="I30"/>
      <c r="J30"/>
    </row>
  </sheetData>
  <conditionalFormatting sqref="L8:M17">
    <cfRule type="cellIs" dxfId="0" priority="1" operator="lessThan">
      <formula>TODAY()</formula>
    </cfRule>
  </conditionalFormatting>
  <dataValidations count="1">
    <dataValidation type="date" allowBlank="1" showInputMessage="1" showErrorMessage="1" sqref="L1:N1048576" xr:uid="{E8C94278-0CC7-4BAD-BF99-7F6CFCAE54FA}">
      <formula1>46023</formula1>
      <formula2>46387</formula2>
    </dataValidation>
  </dataValidations>
  <pageMargins left="0.7" right="0.7" top="0.75" bottom="0.75" header="0.3" footer="0.3"/>
  <legacyDrawing r:id="rId1"/>
  <tableParts count="1">
    <tablePart r:id="rId2"/>
  </tableParts>
  <extLst>
    <ext xmlns:x14="http://schemas.microsoft.com/office/spreadsheetml/2009/9/main" uri="{CCE6A557-97BC-4b89-ADB6-D9C93CAAB3DF}">
      <x14:dataValidations xmlns:xm="http://schemas.microsoft.com/office/excel/2006/main" count="3">
        <x14:dataValidation type="list" allowBlank="1" showInputMessage="1" showErrorMessage="1" xr:uid="{C0A4FB95-F892-4C18-B317-093802E2307E}">
          <x14:formula1>
            <xm:f>Catálogo!$B$3:$B$8</xm:f>
          </x14:formula1>
          <xm:sqref>J3:J17</xm:sqref>
        </x14:dataValidation>
        <x14:dataValidation type="list" allowBlank="1" showInputMessage="1" showErrorMessage="1" xr:uid="{FD416BA8-CE55-47D1-A41D-781B1F3D2318}">
          <x14:formula1>
            <xm:f>Catálogo!$C$3:$C$5</xm:f>
          </x14:formula1>
          <xm:sqref>K3:K17</xm:sqref>
        </x14:dataValidation>
        <x14:dataValidation type="list" allowBlank="1" showInputMessage="1" showErrorMessage="1" xr:uid="{410491DC-66F5-4D07-B690-49C432040949}">
          <x14:formula1>
            <xm:f>Parametros!$B$2:$B$6</xm:f>
          </x14:formula1>
          <xm:sqref>R1:R1048576</xm:sqref>
        </x14:dataValidation>
      </x14:dataValidations>
    </ext>
  </extLs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B2634-55DE-48A0-A652-340654ADE46D}">
  <dimension ref="A1:U50"/>
  <sheetViews>
    <sheetView showGridLines="0" zoomScale="90" zoomScaleNormal="90" workbookViewId="0">
      <pane xSplit="6" ySplit="1" topLeftCell="G2" activePane="bottomRight" state="frozen"/>
      <selection pane="topRight" activeCell="O2" sqref="O2"/>
      <selection pane="bottomLeft" activeCell="O2" sqref="O2"/>
      <selection pane="bottomRight" activeCell="A18" sqref="A18:XFD24"/>
    </sheetView>
  </sheetViews>
  <sheetFormatPr baseColWidth="10" defaultColWidth="11.453125" defaultRowHeight="13.5" customHeight="1"/>
  <cols>
    <col min="1" max="1" width="1.453125" style="63" customWidth="1"/>
    <col min="2" max="2" width="7.7265625" style="63" customWidth="1"/>
    <col min="3" max="3" width="6.7265625" style="63" customWidth="1"/>
    <col min="4" max="4" width="10.26953125" style="63" customWidth="1"/>
    <col min="5" max="5" width="8.1796875" style="63" customWidth="1"/>
    <col min="6" max="6" width="21.81640625" style="63" customWidth="1"/>
    <col min="7" max="7" width="17.453125" style="63" customWidth="1"/>
    <col min="8" max="8" width="29.453125" style="63" customWidth="1"/>
    <col min="9" max="9" width="50" style="63" customWidth="1"/>
    <col min="10" max="10" width="17.54296875" style="63" customWidth="1"/>
    <col min="11" max="13" width="12.453125" style="63" customWidth="1"/>
    <col min="14" max="14" width="17.1796875" style="94" customWidth="1"/>
    <col min="15" max="15" width="17.81640625" style="63" bestFit="1" customWidth="1"/>
    <col min="16" max="16" width="17" style="63" bestFit="1" customWidth="1"/>
    <col min="17" max="17" width="14.1796875" style="63" customWidth="1"/>
    <col min="18" max="18" width="20.54296875" style="63" customWidth="1"/>
    <col min="19" max="19" width="25.453125" style="63" customWidth="1"/>
    <col min="20" max="20" width="16.81640625" style="63" customWidth="1"/>
    <col min="21" max="21" width="11.453125" style="63" bestFit="1" customWidth="1"/>
    <col min="22" max="16384" width="11.453125" style="63"/>
  </cols>
  <sheetData>
    <row r="1" spans="1:21" s="95" customFormat="1" ht="21.75" customHeight="1">
      <c r="B1" s="10" t="s">
        <v>80</v>
      </c>
      <c r="C1" s="10" t="s">
        <v>0</v>
      </c>
      <c r="D1" s="97" t="s">
        <v>20</v>
      </c>
      <c r="E1" s="98" t="s">
        <v>81</v>
      </c>
      <c r="F1" s="98" t="s">
        <v>22</v>
      </c>
      <c r="G1" s="98" t="s">
        <v>23</v>
      </c>
      <c r="H1" s="98" t="s">
        <v>24</v>
      </c>
      <c r="I1" s="98" t="s">
        <v>25</v>
      </c>
      <c r="J1" s="98" t="s">
        <v>26</v>
      </c>
      <c r="K1" s="98" t="s">
        <v>27</v>
      </c>
      <c r="L1" s="98" t="s">
        <v>28</v>
      </c>
      <c r="M1" s="98" t="s">
        <v>82</v>
      </c>
      <c r="N1" s="99" t="s">
        <v>29</v>
      </c>
      <c r="O1" s="100" t="s">
        <v>30</v>
      </c>
      <c r="P1" s="98" t="s">
        <v>31</v>
      </c>
      <c r="Q1" s="98" t="s">
        <v>32</v>
      </c>
      <c r="R1" s="98" t="s">
        <v>33</v>
      </c>
      <c r="S1" s="98" t="s">
        <v>34</v>
      </c>
      <c r="T1" s="98" t="s">
        <v>83</v>
      </c>
      <c r="U1" s="98" t="s">
        <v>84</v>
      </c>
    </row>
    <row r="2" spans="1:21" s="93" customFormat="1" ht="25.5" customHeight="1">
      <c r="B2" s="138">
        <v>1</v>
      </c>
      <c r="C2" s="120" t="s">
        <v>5</v>
      </c>
      <c r="D2" s="101"/>
      <c r="E2" s="101"/>
      <c r="F2" s="93" t="s">
        <v>961</v>
      </c>
      <c r="G2" s="93" t="s">
        <v>162</v>
      </c>
      <c r="H2" s="93" t="s">
        <v>962</v>
      </c>
      <c r="I2" s="93" t="s">
        <v>963</v>
      </c>
      <c r="J2" s="93" t="s">
        <v>267</v>
      </c>
      <c r="K2" s="93" t="s">
        <v>42</v>
      </c>
      <c r="L2" s="96">
        <v>46096</v>
      </c>
      <c r="M2" s="96"/>
      <c r="N2" s="96">
        <v>46112</v>
      </c>
      <c r="O2" s="93" t="s">
        <v>696</v>
      </c>
      <c r="P2" s="93" t="s">
        <v>696</v>
      </c>
      <c r="Q2" s="102" t="b">
        <v>1</v>
      </c>
      <c r="R2" s="93" t="s">
        <v>169</v>
      </c>
      <c r="S2" s="93" t="s">
        <v>961</v>
      </c>
      <c r="T2" s="101"/>
      <c r="U2" s="101" t="str">
        <f>IF(TablaData[[#This Row],[Fecha requerida]]="","N",IF(TablaData[[#This Row],[Fecha requerida]]&lt;=DATE(2026,4,30),"S","N"))</f>
        <v>S</v>
      </c>
    </row>
    <row r="3" spans="1:21" s="93" customFormat="1" ht="25.5" customHeight="1">
      <c r="B3" s="138">
        <v>2</v>
      </c>
      <c r="C3" s="120" t="s">
        <v>5</v>
      </c>
      <c r="D3" s="101"/>
      <c r="E3" s="101"/>
      <c r="F3" s="93" t="s">
        <v>961</v>
      </c>
      <c r="G3" s="93" t="s">
        <v>162</v>
      </c>
      <c r="H3" s="93" t="s">
        <v>964</v>
      </c>
      <c r="I3" s="93" t="s">
        <v>965</v>
      </c>
      <c r="J3" s="93" t="s">
        <v>41</v>
      </c>
      <c r="K3" s="93" t="s">
        <v>59</v>
      </c>
      <c r="L3" s="96">
        <v>46099</v>
      </c>
      <c r="M3" s="96"/>
      <c r="N3" s="96">
        <v>46112</v>
      </c>
      <c r="O3" s="93" t="s">
        <v>102</v>
      </c>
      <c r="P3" s="93" t="s">
        <v>696</v>
      </c>
      <c r="Q3" s="102" t="b">
        <v>1</v>
      </c>
      <c r="R3" s="93" t="s">
        <v>169</v>
      </c>
      <c r="S3" s="93" t="s">
        <v>961</v>
      </c>
      <c r="T3" s="101"/>
      <c r="U3" s="101" t="str">
        <f>IF(TablaData[[#This Row],[Fecha requerida]]="","N",IF(TablaData[[#This Row],[Fecha requerida]]&lt;=DATE(2026,4,30),"S","N"))</f>
        <v>S</v>
      </c>
    </row>
    <row r="4" spans="1:21" s="93" customFormat="1" ht="23.25" customHeight="1">
      <c r="B4" s="138">
        <v>3</v>
      </c>
      <c r="C4" s="120" t="s">
        <v>5</v>
      </c>
      <c r="D4" s="101"/>
      <c r="E4" s="101"/>
      <c r="F4" s="93" t="s">
        <v>961</v>
      </c>
      <c r="G4" s="93" t="s">
        <v>162</v>
      </c>
      <c r="H4" s="93" t="s">
        <v>966</v>
      </c>
      <c r="I4" s="93" t="s">
        <v>967</v>
      </c>
      <c r="J4" s="93" t="s">
        <v>41</v>
      </c>
      <c r="K4" s="93" t="s">
        <v>59</v>
      </c>
      <c r="L4" s="96">
        <v>46099</v>
      </c>
      <c r="M4" s="96"/>
      <c r="N4" s="96">
        <v>46112</v>
      </c>
      <c r="O4" s="93" t="s">
        <v>44</v>
      </c>
      <c r="P4" s="93" t="s">
        <v>696</v>
      </c>
      <c r="Q4" s="102" t="b">
        <v>1</v>
      </c>
      <c r="R4" s="93" t="s">
        <v>169</v>
      </c>
      <c r="S4" s="93" t="s">
        <v>961</v>
      </c>
      <c r="T4" s="101"/>
      <c r="U4" s="101" t="str">
        <f>IF(TablaData[[#This Row],[Fecha requerida]]="","N",IF(TablaData[[#This Row],[Fecha requerida]]&lt;=DATE(2026,4,30),"S","N"))</f>
        <v>S</v>
      </c>
    </row>
    <row r="5" spans="1:21" s="93" customFormat="1" ht="24.75" customHeight="1">
      <c r="B5" s="138">
        <v>4</v>
      </c>
      <c r="C5" s="120" t="s">
        <v>5</v>
      </c>
      <c r="D5" s="101" t="s">
        <v>968</v>
      </c>
      <c r="E5" s="101"/>
      <c r="F5" s="93" t="s">
        <v>961</v>
      </c>
      <c r="G5" s="93" t="s">
        <v>10</v>
      </c>
      <c r="H5" s="93" t="s">
        <v>969</v>
      </c>
      <c r="I5" s="93" t="s">
        <v>970</v>
      </c>
      <c r="J5" s="93" t="s">
        <v>41</v>
      </c>
      <c r="K5" s="93" t="s">
        <v>238</v>
      </c>
      <c r="L5" s="96">
        <v>46112</v>
      </c>
      <c r="M5" s="96"/>
      <c r="N5" s="96"/>
      <c r="O5" s="93" t="s">
        <v>44</v>
      </c>
      <c r="P5" s="93" t="s">
        <v>102</v>
      </c>
      <c r="Q5" s="102" t="b">
        <v>1</v>
      </c>
      <c r="R5" s="93" t="s">
        <v>103</v>
      </c>
      <c r="S5" s="93" t="s">
        <v>961</v>
      </c>
      <c r="T5" s="101"/>
      <c r="U5" s="101" t="str">
        <f>IF(TablaData[[#This Row],[Fecha requerida]]="","N",IF(TablaData[[#This Row],[Fecha requerida]]&lt;=DATE(2026,4,30),"S","N"))</f>
        <v>S</v>
      </c>
    </row>
    <row r="6" spans="1:21" s="93" customFormat="1" ht="24" customHeight="1">
      <c r="B6" s="138">
        <v>5</v>
      </c>
      <c r="C6" s="120" t="s">
        <v>5</v>
      </c>
      <c r="D6" s="101" t="s">
        <v>968</v>
      </c>
      <c r="E6" s="101"/>
      <c r="F6" s="93" t="s">
        <v>961</v>
      </c>
      <c r="G6" s="93" t="s">
        <v>10</v>
      </c>
      <c r="H6" s="93" t="s">
        <v>971</v>
      </c>
      <c r="I6" s="93" t="s">
        <v>972</v>
      </c>
      <c r="J6" s="93" t="s">
        <v>41</v>
      </c>
      <c r="K6" s="93" t="s">
        <v>42</v>
      </c>
      <c r="L6" s="96">
        <v>46097</v>
      </c>
      <c r="M6" s="96"/>
      <c r="N6" s="96">
        <v>46097</v>
      </c>
      <c r="O6" s="93" t="s">
        <v>696</v>
      </c>
      <c r="P6" s="93" t="s">
        <v>102</v>
      </c>
      <c r="Q6" s="102" t="b">
        <v>1</v>
      </c>
      <c r="R6" s="93" t="s">
        <v>179</v>
      </c>
      <c r="S6" s="93" t="s">
        <v>961</v>
      </c>
      <c r="T6" s="101"/>
      <c r="U6" s="101" t="str">
        <f>IF(TablaData[[#This Row],[Fecha requerida]]="","N",IF(TablaData[[#This Row],[Fecha requerida]]&lt;=DATE(2026,4,30),"S","N"))</f>
        <v>S</v>
      </c>
    </row>
    <row r="7" spans="1:21" s="93" customFormat="1" ht="28.5" customHeight="1">
      <c r="A7" s="98"/>
      <c r="B7" s="138">
        <v>6</v>
      </c>
      <c r="C7" s="120" t="s">
        <v>5</v>
      </c>
      <c r="D7" s="139" t="s">
        <v>968</v>
      </c>
      <c r="E7" s="139"/>
      <c r="F7" s="93" t="s">
        <v>961</v>
      </c>
      <c r="G7" s="93" t="s">
        <v>10</v>
      </c>
      <c r="H7" s="93" t="s">
        <v>973</v>
      </c>
      <c r="I7" s="93" t="s">
        <v>974</v>
      </c>
      <c r="J7" s="93" t="s">
        <v>41</v>
      </c>
      <c r="K7" s="93" t="s">
        <v>42</v>
      </c>
      <c r="L7" s="96">
        <v>46098</v>
      </c>
      <c r="M7" s="96"/>
      <c r="N7" s="96">
        <v>46098</v>
      </c>
      <c r="O7" s="93" t="s">
        <v>44</v>
      </c>
      <c r="P7" s="93" t="s">
        <v>102</v>
      </c>
      <c r="Q7" s="102" t="b">
        <v>1</v>
      </c>
      <c r="R7" s="93" t="s">
        <v>169</v>
      </c>
      <c r="S7" s="93" t="s">
        <v>961</v>
      </c>
      <c r="T7" s="101"/>
      <c r="U7" s="101" t="str">
        <f>IF(TablaData[[#This Row],[Fecha requerida]]="","N",IF(TablaData[[#This Row],[Fecha requerida]]&lt;=DATE(2026,4,30),"S","N"))</f>
        <v>S</v>
      </c>
    </row>
    <row r="8" spans="1:21" s="93" customFormat="1" ht="24.75" customHeight="1">
      <c r="B8" s="138">
        <v>7</v>
      </c>
      <c r="C8" s="120" t="s">
        <v>5</v>
      </c>
      <c r="D8" s="101" t="s">
        <v>968</v>
      </c>
      <c r="E8" s="101"/>
      <c r="F8" s="93" t="s">
        <v>975</v>
      </c>
      <c r="G8" s="93" t="s">
        <v>162</v>
      </c>
      <c r="H8" s="93" t="s">
        <v>976</v>
      </c>
      <c r="I8" s="93" t="s">
        <v>977</v>
      </c>
      <c r="J8" s="93" t="s">
        <v>41</v>
      </c>
      <c r="K8" s="93" t="s">
        <v>59</v>
      </c>
      <c r="L8" s="96">
        <v>46098</v>
      </c>
      <c r="M8" s="96"/>
      <c r="N8" s="96"/>
      <c r="O8" s="93" t="s">
        <v>102</v>
      </c>
      <c r="P8" s="93" t="s">
        <v>696</v>
      </c>
      <c r="Q8" s="102" t="b">
        <v>1</v>
      </c>
      <c r="R8" s="93" t="s">
        <v>169</v>
      </c>
      <c r="S8" s="93" t="s">
        <v>975</v>
      </c>
      <c r="T8" s="101"/>
      <c r="U8" s="101" t="str">
        <f>IF(TablaData[[#This Row],[Fecha requerida]]="","N",IF(TablaData[[#This Row],[Fecha requerida]]&lt;=DATE(2026,4,30),"S","N"))</f>
        <v>S</v>
      </c>
    </row>
    <row r="9" spans="1:21" ht="27" customHeight="1">
      <c r="A9" s="93"/>
      <c r="B9" s="138">
        <v>8</v>
      </c>
      <c r="C9" s="120" t="s">
        <v>5</v>
      </c>
      <c r="D9" s="101"/>
      <c r="E9" s="101"/>
      <c r="F9" s="93" t="s">
        <v>978</v>
      </c>
      <c r="G9" s="93" t="s">
        <v>10</v>
      </c>
      <c r="H9" s="93" t="s">
        <v>979</v>
      </c>
      <c r="I9" s="93" t="s">
        <v>980</v>
      </c>
      <c r="J9" s="93" t="s">
        <v>41</v>
      </c>
      <c r="K9" s="93" t="s">
        <v>42</v>
      </c>
      <c r="L9" s="96">
        <v>46090</v>
      </c>
      <c r="M9" s="96"/>
      <c r="N9" s="96"/>
      <c r="O9" s="93"/>
      <c r="P9" s="93" t="s">
        <v>102</v>
      </c>
      <c r="Q9" s="102" t="b">
        <v>1</v>
      </c>
      <c r="R9" s="93" t="s">
        <v>169</v>
      </c>
      <c r="S9" s="93" t="s">
        <v>981</v>
      </c>
      <c r="T9" s="101"/>
      <c r="U9" s="101" t="str">
        <f>IF(TablaData[[#This Row],[Fecha requerida]]="","N",IF(TablaData[[#This Row],[Fecha requerida]]&lt;=DATE(2026,4,30),"S","N"))</f>
        <v>S</v>
      </c>
    </row>
    <row r="10" spans="1:21" ht="24" customHeight="1">
      <c r="A10" s="93"/>
      <c r="B10" s="138">
        <v>9</v>
      </c>
      <c r="C10" s="120" t="s">
        <v>5</v>
      </c>
      <c r="D10" s="101"/>
      <c r="E10" s="101"/>
      <c r="F10" s="93" t="s">
        <v>975</v>
      </c>
      <c r="G10" s="93" t="s">
        <v>10</v>
      </c>
      <c r="H10" s="93" t="s">
        <v>982</v>
      </c>
      <c r="I10" s="93" t="s">
        <v>983</v>
      </c>
      <c r="J10" s="93" t="s">
        <v>267</v>
      </c>
      <c r="K10" s="93" t="s">
        <v>42</v>
      </c>
      <c r="L10" s="96">
        <v>46055</v>
      </c>
      <c r="M10" s="96"/>
      <c r="N10" s="96"/>
      <c r="O10" s="93"/>
      <c r="P10" s="93" t="s">
        <v>102</v>
      </c>
      <c r="Q10" s="102" t="b">
        <v>1</v>
      </c>
      <c r="R10" s="93" t="s">
        <v>103</v>
      </c>
      <c r="S10" s="93" t="s">
        <v>975</v>
      </c>
      <c r="T10" s="101"/>
      <c r="U10" s="101" t="str">
        <f>IF(TablaData[[#This Row],[Fecha requerida]]="","N",IF(TablaData[[#This Row],[Fecha requerida]]&lt;=DATE(2026,4,30),"S","N"))</f>
        <v>S</v>
      </c>
    </row>
    <row r="11" spans="1:21" ht="26">
      <c r="A11" s="93"/>
      <c r="B11" s="138">
        <v>10</v>
      </c>
      <c r="C11" s="120" t="s">
        <v>5</v>
      </c>
      <c r="D11" s="101"/>
      <c r="E11" s="101"/>
      <c r="F11" s="93" t="s">
        <v>961</v>
      </c>
      <c r="G11" s="93" t="s">
        <v>10</v>
      </c>
      <c r="H11" s="93" t="s">
        <v>984</v>
      </c>
      <c r="I11" s="93" t="s">
        <v>985</v>
      </c>
      <c r="J11" s="93" t="s">
        <v>41</v>
      </c>
      <c r="K11" s="93" t="s">
        <v>556</v>
      </c>
      <c r="L11" s="96">
        <v>46109</v>
      </c>
      <c r="M11" s="96"/>
      <c r="N11" s="96">
        <v>46142</v>
      </c>
      <c r="O11" s="93"/>
      <c r="P11" s="93" t="s">
        <v>102</v>
      </c>
      <c r="Q11" s="102" t="b">
        <v>1</v>
      </c>
      <c r="R11" s="93" t="s">
        <v>169</v>
      </c>
      <c r="S11" s="93" t="s">
        <v>961</v>
      </c>
      <c r="T11" s="101"/>
      <c r="U11" s="101" t="str">
        <f>IF(TablaData[[#This Row],[Fecha requerida]]="","N",IF(TablaData[[#This Row],[Fecha requerida]]&lt;=DATE(2026,4,30),"S","N"))</f>
        <v>S</v>
      </c>
    </row>
    <row r="12" spans="1:21" ht="39">
      <c r="A12" s="93"/>
      <c r="B12" s="138">
        <v>11</v>
      </c>
      <c r="C12" s="120" t="s">
        <v>5</v>
      </c>
      <c r="D12" s="101"/>
      <c r="E12" s="101"/>
      <c r="F12" s="93" t="s">
        <v>961</v>
      </c>
      <c r="G12" s="93" t="s">
        <v>10</v>
      </c>
      <c r="H12" s="93" t="s">
        <v>986</v>
      </c>
      <c r="I12" s="93" t="s">
        <v>987</v>
      </c>
      <c r="J12" s="93" t="s">
        <v>41</v>
      </c>
      <c r="K12" s="93" t="s">
        <v>556</v>
      </c>
      <c r="L12" s="96">
        <v>46136</v>
      </c>
      <c r="M12" s="96"/>
      <c r="N12" s="96">
        <v>46203</v>
      </c>
      <c r="O12" s="93"/>
      <c r="P12" s="93" t="s">
        <v>102</v>
      </c>
      <c r="Q12" s="102" t="b">
        <v>1</v>
      </c>
      <c r="R12" s="93" t="s">
        <v>103</v>
      </c>
      <c r="S12" s="93" t="s">
        <v>961</v>
      </c>
      <c r="T12" s="101"/>
      <c r="U12" s="101" t="str">
        <f>IF(TablaData[[#This Row],[Fecha requerida]]="","N",IF(TablaData[[#This Row],[Fecha requerida]]&lt;=DATE(2026,4,30),"S","N"))</f>
        <v>S</v>
      </c>
    </row>
    <row r="13" spans="1:21" ht="39">
      <c r="A13" s="93"/>
      <c r="B13" s="138">
        <v>12</v>
      </c>
      <c r="C13" s="140" t="s">
        <v>5</v>
      </c>
      <c r="D13" s="101"/>
      <c r="E13" s="101"/>
      <c r="F13" s="93" t="s">
        <v>961</v>
      </c>
      <c r="G13" s="93" t="s">
        <v>10</v>
      </c>
      <c r="H13" s="93" t="s">
        <v>988</v>
      </c>
      <c r="I13" s="93" t="s">
        <v>989</v>
      </c>
      <c r="J13" s="93" t="s">
        <v>41</v>
      </c>
      <c r="K13" s="93" t="s">
        <v>556</v>
      </c>
      <c r="L13" s="96">
        <v>46136</v>
      </c>
      <c r="M13" s="96"/>
      <c r="N13" s="96">
        <v>46203</v>
      </c>
      <c r="O13" s="93"/>
      <c r="P13" s="93" t="s">
        <v>102</v>
      </c>
      <c r="Q13" s="102" t="b">
        <v>1</v>
      </c>
      <c r="R13" s="93" t="s">
        <v>103</v>
      </c>
      <c r="S13" s="93" t="s">
        <v>961</v>
      </c>
      <c r="T13" s="101"/>
      <c r="U13" s="101" t="str">
        <f>IF(TablaData[[#This Row],[Fecha requerida]]="","N",IF(TablaData[[#This Row],[Fecha requerida]]&lt;=DATE(2026,4,30),"S","N"))</f>
        <v>S</v>
      </c>
    </row>
    <row r="14" spans="1:21" ht="26">
      <c r="A14" s="93"/>
      <c r="B14" s="138">
        <v>13</v>
      </c>
      <c r="C14" s="140" t="s">
        <v>5</v>
      </c>
      <c r="D14" s="101"/>
      <c r="E14" s="101"/>
      <c r="F14" s="93" t="s">
        <v>961</v>
      </c>
      <c r="G14" s="93" t="s">
        <v>990</v>
      </c>
      <c r="H14" s="93" t="s">
        <v>991</v>
      </c>
      <c r="I14" s="93" t="s">
        <v>992</v>
      </c>
      <c r="J14" s="93" t="s">
        <v>41</v>
      </c>
      <c r="K14" s="93" t="s">
        <v>556</v>
      </c>
      <c r="L14" s="96"/>
      <c r="M14" s="96"/>
      <c r="N14" s="96"/>
      <c r="O14" s="93"/>
      <c r="P14" s="93"/>
      <c r="Q14" s="102" t="b">
        <v>1</v>
      </c>
      <c r="R14" s="93" t="s">
        <v>103</v>
      </c>
      <c r="S14" s="93" t="s">
        <v>961</v>
      </c>
      <c r="T14" s="101"/>
      <c r="U14" s="101"/>
    </row>
    <row r="15" spans="1:21" ht="13">
      <c r="A15" s="93"/>
      <c r="B15" s="101"/>
      <c r="C15" s="93"/>
      <c r="D15" s="101"/>
      <c r="E15" s="101"/>
      <c r="F15" s="93"/>
      <c r="G15" s="93"/>
      <c r="H15" s="93"/>
      <c r="I15" s="93"/>
      <c r="J15" s="93"/>
      <c r="K15" s="93"/>
      <c r="L15" s="96"/>
      <c r="M15" s="96"/>
      <c r="N15" s="96"/>
      <c r="O15" s="93"/>
      <c r="P15" s="93"/>
      <c r="Q15" s="102" t="b">
        <v>0</v>
      </c>
      <c r="R15" s="93"/>
      <c r="S15" s="93"/>
      <c r="T15" s="101"/>
      <c r="U15" s="101"/>
    </row>
    <row r="16" spans="1:21" ht="13">
      <c r="A16" s="93"/>
      <c r="B16" s="101"/>
      <c r="C16" s="93"/>
      <c r="D16" s="101"/>
      <c r="E16" s="101"/>
      <c r="F16" s="93"/>
      <c r="G16" s="93"/>
      <c r="H16" s="93"/>
      <c r="I16" s="93"/>
      <c r="J16" s="93"/>
      <c r="K16" s="93"/>
      <c r="L16" s="96"/>
      <c r="M16" s="96"/>
      <c r="N16" s="96"/>
      <c r="O16" s="93"/>
      <c r="P16" s="93"/>
      <c r="Q16" s="102" t="b">
        <v>0</v>
      </c>
      <c r="R16" s="93"/>
      <c r="S16" s="93"/>
      <c r="T16" s="101"/>
      <c r="U16" s="101"/>
    </row>
    <row r="17" spans="1:19" ht="13">
      <c r="A17" s="93"/>
      <c r="B17" s="93"/>
      <c r="C17" s="93"/>
      <c r="D17" s="101"/>
      <c r="E17" s="101"/>
      <c r="F17" s="93"/>
      <c r="G17" s="93"/>
      <c r="H17" s="93"/>
      <c r="I17" s="93"/>
      <c r="J17" s="93"/>
      <c r="K17" s="93"/>
      <c r="L17" s="96"/>
      <c r="M17" s="96"/>
      <c r="N17" s="96"/>
      <c r="O17" s="93"/>
      <c r="P17" s="93"/>
      <c r="Q17" s="93"/>
      <c r="R17" s="93"/>
      <c r="S17" s="93"/>
    </row>
    <row r="18" spans="1:19" ht="14.5">
      <c r="A18" s="93"/>
      <c r="B18" s="93"/>
      <c r="C18" s="93"/>
      <c r="D18" s="101"/>
      <c r="E18" s="101"/>
      <c r="F18" s="93"/>
      <c r="G18" s="93"/>
      <c r="H18" s="93"/>
      <c r="I18" s="93"/>
      <c r="J18" s="93"/>
      <c r="K18" s="93"/>
      <c r="L18" s="96"/>
      <c r="M18" s="96"/>
      <c r="N18" s="96"/>
      <c r="O18"/>
      <c r="P18"/>
      <c r="Q18"/>
      <c r="R18" s="93"/>
      <c r="S18" s="93"/>
    </row>
    <row r="19" spans="1:19" ht="14.5">
      <c r="A19" s="93"/>
      <c r="B19" s="93"/>
      <c r="C19" s="93"/>
      <c r="D19" s="101"/>
      <c r="E19" s="101"/>
      <c r="F19" s="93"/>
      <c r="G19" s="93"/>
      <c r="H19" s="93"/>
      <c r="I19" s="93"/>
      <c r="J19" s="93"/>
      <c r="K19" s="93"/>
      <c r="L19" s="96"/>
      <c r="M19" s="96"/>
      <c r="N19" s="96"/>
      <c r="O19"/>
      <c r="P19"/>
      <c r="Q19"/>
      <c r="R19" s="93"/>
      <c r="S19" s="93"/>
    </row>
    <row r="20" spans="1:19" ht="14.5">
      <c r="A20" s="93"/>
      <c r="B20" s="93"/>
      <c r="C20" s="93"/>
      <c r="D20" s="101"/>
      <c r="E20" s="101"/>
      <c r="F20" s="93"/>
      <c r="G20" s="93"/>
      <c r="H20" s="93"/>
      <c r="I20" s="93"/>
      <c r="J20" s="93"/>
      <c r="K20" s="93"/>
      <c r="L20" s="96"/>
      <c r="M20" s="96"/>
      <c r="N20" s="96"/>
      <c r="O20"/>
      <c r="P20"/>
      <c r="Q20"/>
      <c r="R20" s="93"/>
      <c r="S20" s="93"/>
    </row>
    <row r="21" spans="1:19" ht="14.5">
      <c r="A21" s="93"/>
      <c r="B21" s="93"/>
      <c r="C21" s="93"/>
      <c r="D21" s="101"/>
      <c r="E21" s="101"/>
      <c r="F21" s="93"/>
      <c r="G21" s="93"/>
      <c r="H21" s="93"/>
      <c r="I21" s="93"/>
      <c r="J21" s="93"/>
      <c r="K21" s="93"/>
      <c r="L21" s="96"/>
      <c r="M21" s="96"/>
      <c r="N21" s="96"/>
      <c r="O21"/>
      <c r="P21"/>
      <c r="Q21"/>
      <c r="R21" s="93"/>
      <c r="S21" s="93"/>
    </row>
    <row r="22" spans="1:19" ht="14.5">
      <c r="A22" s="93"/>
      <c r="B22" s="93"/>
      <c r="C22" s="93"/>
      <c r="D22" s="101"/>
      <c r="E22" s="101"/>
      <c r="F22" s="93"/>
      <c r="G22" s="93"/>
      <c r="H22" s="93"/>
      <c r="I22" s="93"/>
      <c r="J22" s="93"/>
      <c r="K22" s="93"/>
      <c r="L22" s="96"/>
      <c r="M22" s="96"/>
      <c r="N22" s="96"/>
      <c r="O22"/>
      <c r="P22"/>
      <c r="Q22"/>
      <c r="R22" s="93"/>
      <c r="S22" s="93"/>
    </row>
    <row r="23" spans="1:19" ht="14.5">
      <c r="A23" s="93"/>
      <c r="B23" s="93"/>
      <c r="C23" s="93"/>
      <c r="D23" s="101"/>
      <c r="E23" s="101"/>
      <c r="F23" s="93"/>
      <c r="G23" s="93"/>
      <c r="H23" s="93"/>
      <c r="I23" s="93"/>
      <c r="J23" s="93"/>
      <c r="K23" s="93"/>
      <c r="L23" s="96"/>
      <c r="M23" s="96"/>
      <c r="N23" s="96"/>
      <c r="O23"/>
      <c r="P23"/>
      <c r="Q23"/>
      <c r="R23" s="93"/>
      <c r="S23" s="93"/>
    </row>
    <row r="24" spans="1:19" ht="14.5">
      <c r="A24" s="93"/>
      <c r="B24" s="93"/>
      <c r="C24" s="93"/>
      <c r="D24" s="101"/>
      <c r="E24" s="101"/>
      <c r="F24" s="93"/>
      <c r="G24" s="93"/>
      <c r="H24" s="93"/>
      <c r="I24" s="93"/>
      <c r="J24" s="93"/>
      <c r="K24" s="93"/>
      <c r="L24" s="96"/>
      <c r="M24" s="96"/>
      <c r="N24" s="96"/>
      <c r="O24"/>
      <c r="P24"/>
      <c r="Q24"/>
      <c r="R24" s="93"/>
      <c r="S24" s="93"/>
    </row>
    <row r="25" spans="1:19" ht="14.5">
      <c r="A25" s="93"/>
      <c r="B25" s="93"/>
      <c r="C25" s="93"/>
      <c r="D25" s="101"/>
      <c r="E25" s="101"/>
      <c r="F25" s="93"/>
      <c r="G25" s="93"/>
      <c r="H25" s="93"/>
      <c r="I25" s="93"/>
      <c r="J25" s="93"/>
      <c r="K25" s="93"/>
      <c r="L25" s="96"/>
      <c r="M25" s="96"/>
      <c r="N25" s="96"/>
      <c r="O25"/>
      <c r="P25"/>
      <c r="Q25"/>
      <c r="R25" s="93"/>
      <c r="S25" s="93"/>
    </row>
    <row r="26" spans="1:19" ht="14.5">
      <c r="A26" s="93"/>
      <c r="B26" s="93"/>
      <c r="C26" s="93"/>
      <c r="D26" s="101"/>
      <c r="E26" s="101"/>
      <c r="F26" s="93"/>
      <c r="G26" s="93"/>
      <c r="H26" s="93"/>
      <c r="I26" s="93"/>
      <c r="J26" s="93"/>
      <c r="K26" s="93"/>
      <c r="L26" s="96"/>
      <c r="M26" s="96"/>
      <c r="N26" s="96"/>
      <c r="O26"/>
      <c r="P26"/>
      <c r="Q26"/>
      <c r="R26" s="93"/>
      <c r="S26" s="93"/>
    </row>
    <row r="27" spans="1:19" ht="14.5">
      <c r="A27" s="93"/>
      <c r="B27" s="93"/>
      <c r="C27" s="93"/>
      <c r="D27" s="101"/>
      <c r="E27" s="101"/>
      <c r="F27" s="93"/>
      <c r="G27" s="93"/>
      <c r="H27" s="93"/>
      <c r="I27" s="93"/>
      <c r="J27" s="93"/>
      <c r="K27" s="93"/>
      <c r="L27" s="96"/>
      <c r="M27" s="96"/>
      <c r="N27" s="96"/>
      <c r="O27"/>
      <c r="P27"/>
      <c r="Q27"/>
      <c r="R27" s="93"/>
      <c r="S27" s="93"/>
    </row>
    <row r="28" spans="1:19" ht="14.5">
      <c r="A28" s="93"/>
      <c r="B28" s="93"/>
      <c r="C28" s="93"/>
      <c r="D28" s="101"/>
      <c r="E28" s="101"/>
      <c r="F28" s="93"/>
      <c r="G28" s="93"/>
      <c r="H28" s="93"/>
      <c r="I28" s="93"/>
      <c r="J28" s="93"/>
      <c r="K28" s="93"/>
      <c r="L28" s="96"/>
      <c r="M28" s="96"/>
      <c r="N28" s="96"/>
      <c r="O28"/>
      <c r="P28"/>
      <c r="Q28"/>
      <c r="R28" s="93"/>
      <c r="S28" s="93"/>
    </row>
    <row r="29" spans="1:19" ht="14.5">
      <c r="A29" s="93"/>
      <c r="B29" s="93"/>
      <c r="C29" s="93"/>
      <c r="D29" s="101"/>
      <c r="E29" s="101"/>
      <c r="F29" s="93"/>
      <c r="G29" s="93"/>
      <c r="H29" s="93"/>
      <c r="I29" s="93"/>
      <c r="J29" s="93"/>
      <c r="K29" s="93"/>
      <c r="L29" s="96"/>
      <c r="M29" s="96"/>
      <c r="N29" s="96"/>
      <c r="O29"/>
      <c r="P29"/>
      <c r="Q29"/>
      <c r="R29" s="93"/>
      <c r="S29" s="93"/>
    </row>
    <row r="30" spans="1:19" ht="13">
      <c r="A30" s="93"/>
      <c r="B30" s="93"/>
      <c r="C30" s="93"/>
      <c r="D30" s="101"/>
      <c r="E30" s="101"/>
      <c r="F30" s="93"/>
      <c r="G30" s="93"/>
      <c r="H30" s="93"/>
      <c r="I30" s="93"/>
      <c r="J30" s="93"/>
      <c r="K30" s="93"/>
      <c r="L30" s="96"/>
      <c r="M30" s="96"/>
      <c r="N30" s="96"/>
      <c r="O30" s="93"/>
      <c r="P30" s="93"/>
      <c r="Q30" s="93"/>
      <c r="R30" s="93"/>
      <c r="S30" s="93"/>
    </row>
    <row r="31" spans="1:19" ht="13">
      <c r="A31" s="93"/>
      <c r="B31" s="93"/>
      <c r="C31" s="93"/>
      <c r="D31" s="101"/>
      <c r="E31" s="101"/>
      <c r="F31" s="93"/>
      <c r="G31" s="93"/>
      <c r="H31" s="93"/>
      <c r="I31" s="93"/>
      <c r="J31" s="93"/>
      <c r="K31" s="93"/>
      <c r="L31" s="96"/>
      <c r="M31" s="96"/>
      <c r="N31" s="96"/>
      <c r="O31" s="93"/>
      <c r="P31" s="93"/>
      <c r="Q31" s="93"/>
      <c r="R31" s="93"/>
      <c r="S31" s="93"/>
    </row>
    <row r="32" spans="1:19" ht="13">
      <c r="A32" s="93"/>
      <c r="B32" s="93"/>
      <c r="C32" s="93"/>
      <c r="D32" s="101"/>
      <c r="E32" s="101"/>
      <c r="F32" s="93"/>
      <c r="G32" s="93"/>
      <c r="H32" s="93"/>
      <c r="I32" s="93"/>
      <c r="J32" s="93"/>
      <c r="K32" s="93"/>
      <c r="L32" s="96"/>
      <c r="M32" s="96"/>
      <c r="N32" s="96"/>
      <c r="O32" s="93"/>
      <c r="P32" s="93"/>
      <c r="Q32" s="93"/>
      <c r="R32" s="93"/>
      <c r="S32" s="93"/>
    </row>
    <row r="33" spans="1:19" ht="13">
      <c r="A33" s="93"/>
      <c r="B33" s="93"/>
      <c r="C33" s="93"/>
      <c r="D33" s="101"/>
      <c r="E33" s="101"/>
      <c r="F33" s="93"/>
      <c r="G33" s="93"/>
      <c r="H33" s="93"/>
      <c r="I33" s="93"/>
      <c r="J33" s="93"/>
      <c r="K33" s="93"/>
      <c r="L33" s="96"/>
      <c r="M33" s="96"/>
      <c r="N33" s="96"/>
      <c r="O33" s="93"/>
      <c r="P33" s="93"/>
      <c r="Q33" s="93"/>
      <c r="R33" s="93"/>
      <c r="S33" s="93"/>
    </row>
    <row r="34" spans="1:19" ht="13">
      <c r="A34" s="93"/>
      <c r="B34" s="93"/>
      <c r="C34" s="93"/>
      <c r="D34" s="101"/>
      <c r="E34" s="101"/>
      <c r="F34" s="93"/>
      <c r="G34" s="93"/>
      <c r="H34" s="93"/>
      <c r="I34" s="93"/>
      <c r="J34" s="93"/>
      <c r="K34" s="93"/>
      <c r="L34" s="96"/>
      <c r="M34" s="96"/>
      <c r="N34" s="96"/>
      <c r="O34" s="93"/>
      <c r="P34" s="93"/>
      <c r="Q34" s="93"/>
      <c r="R34" s="93"/>
      <c r="S34" s="93"/>
    </row>
    <row r="35" spans="1:19" ht="13">
      <c r="A35" s="93"/>
      <c r="B35" s="93"/>
      <c r="C35" s="93"/>
      <c r="D35" s="101"/>
      <c r="E35" s="101"/>
      <c r="F35" s="93"/>
      <c r="G35" s="93"/>
      <c r="H35" s="93"/>
      <c r="I35" s="93"/>
      <c r="J35" s="93"/>
      <c r="K35" s="93"/>
      <c r="L35" s="96"/>
      <c r="M35" s="96"/>
      <c r="N35" s="96"/>
      <c r="O35" s="93"/>
      <c r="P35" s="93"/>
      <c r="Q35" s="93"/>
      <c r="R35" s="93"/>
      <c r="S35" s="93"/>
    </row>
    <row r="36" spans="1:19" ht="13">
      <c r="A36" s="93"/>
      <c r="B36" s="93"/>
      <c r="C36" s="93"/>
      <c r="D36" s="101"/>
      <c r="E36" s="101"/>
      <c r="F36" s="93"/>
      <c r="G36" s="93"/>
      <c r="H36" s="93"/>
      <c r="I36" s="93"/>
      <c r="J36" s="93"/>
      <c r="K36" s="93"/>
      <c r="L36" s="96"/>
      <c r="M36" s="96"/>
      <c r="N36" s="96"/>
      <c r="O36" s="93"/>
      <c r="P36" s="93"/>
      <c r="Q36" s="93"/>
      <c r="R36" s="93"/>
      <c r="S36" s="93"/>
    </row>
    <row r="37" spans="1:19" ht="13">
      <c r="A37" s="93"/>
      <c r="B37" s="93"/>
      <c r="C37" s="93"/>
      <c r="D37" s="101"/>
      <c r="E37" s="101"/>
      <c r="F37" s="93"/>
      <c r="G37" s="93"/>
      <c r="H37" s="93"/>
      <c r="I37" s="93"/>
      <c r="J37" s="93"/>
      <c r="K37" s="93"/>
      <c r="L37" s="96"/>
      <c r="M37" s="96"/>
      <c r="N37" s="96"/>
      <c r="O37" s="93"/>
      <c r="P37" s="93"/>
      <c r="Q37" s="93"/>
      <c r="R37" s="93"/>
      <c r="S37" s="93"/>
    </row>
    <row r="38" spans="1:19" ht="13">
      <c r="A38" s="93"/>
      <c r="B38" s="93"/>
      <c r="C38" s="93"/>
      <c r="D38" s="101"/>
      <c r="E38" s="101"/>
      <c r="F38" s="93"/>
      <c r="G38" s="93"/>
      <c r="H38" s="93"/>
      <c r="I38" s="93"/>
      <c r="J38" s="93"/>
      <c r="K38" s="93"/>
      <c r="L38" s="96"/>
      <c r="M38" s="96"/>
      <c r="N38" s="96"/>
      <c r="O38" s="93"/>
      <c r="P38" s="93"/>
      <c r="Q38" s="93"/>
      <c r="R38" s="93"/>
      <c r="S38" s="93"/>
    </row>
    <row r="39" spans="1:19" ht="13">
      <c r="A39" s="93"/>
      <c r="B39" s="93"/>
      <c r="C39" s="93"/>
      <c r="D39" s="101"/>
      <c r="E39" s="101"/>
      <c r="F39" s="93"/>
      <c r="G39" s="93"/>
      <c r="H39" s="93"/>
      <c r="I39" s="93"/>
      <c r="J39" s="93"/>
      <c r="K39" s="93"/>
      <c r="L39" s="96"/>
      <c r="M39" s="96"/>
      <c r="N39" s="96"/>
      <c r="O39" s="93"/>
      <c r="P39" s="93"/>
      <c r="Q39" s="93"/>
      <c r="R39" s="93"/>
      <c r="S39" s="93"/>
    </row>
    <row r="40" spans="1:19" ht="13">
      <c r="A40" s="93"/>
      <c r="B40" s="93"/>
      <c r="C40" s="93"/>
      <c r="D40" s="101"/>
      <c r="E40" s="101"/>
      <c r="F40" s="93"/>
      <c r="G40" s="93"/>
      <c r="H40" s="93"/>
      <c r="I40" s="93"/>
      <c r="J40" s="93"/>
      <c r="K40" s="93"/>
      <c r="L40" s="96"/>
      <c r="M40" s="96"/>
      <c r="N40" s="96"/>
      <c r="O40" s="93"/>
      <c r="P40" s="93"/>
      <c r="Q40" s="93"/>
      <c r="R40" s="93"/>
      <c r="S40" s="93"/>
    </row>
    <row r="41" spans="1:19" ht="13">
      <c r="A41" s="93"/>
      <c r="B41" s="93"/>
      <c r="C41" s="93"/>
      <c r="D41" s="101"/>
      <c r="E41" s="101"/>
      <c r="F41" s="93"/>
      <c r="G41" s="93"/>
      <c r="H41" s="93"/>
      <c r="I41" s="93"/>
      <c r="J41" s="93"/>
      <c r="K41" s="93"/>
      <c r="L41" s="96"/>
      <c r="M41" s="96"/>
      <c r="N41" s="96"/>
      <c r="O41" s="93"/>
      <c r="P41" s="93"/>
      <c r="Q41" s="93"/>
      <c r="R41" s="93"/>
      <c r="S41" s="93"/>
    </row>
    <row r="42" spans="1:19" ht="13">
      <c r="A42" s="93"/>
      <c r="B42" s="93"/>
      <c r="C42" s="93"/>
      <c r="D42" s="101"/>
      <c r="E42" s="101"/>
      <c r="F42" s="93"/>
      <c r="G42" s="93"/>
      <c r="H42" s="93"/>
      <c r="I42" s="93"/>
      <c r="J42" s="93"/>
      <c r="K42" s="93"/>
      <c r="L42" s="96"/>
      <c r="M42" s="96"/>
      <c r="N42" s="96"/>
      <c r="O42" s="93"/>
      <c r="P42" s="93"/>
      <c r="Q42" s="93"/>
      <c r="R42" s="93"/>
      <c r="S42" s="93"/>
    </row>
    <row r="43" spans="1:19" ht="13">
      <c r="A43" s="93"/>
      <c r="B43" s="93"/>
      <c r="C43" s="93"/>
      <c r="D43" s="101"/>
      <c r="E43" s="101"/>
      <c r="F43" s="93"/>
      <c r="G43" s="93"/>
      <c r="H43" s="93"/>
      <c r="I43" s="93"/>
      <c r="J43" s="93"/>
      <c r="K43" s="93"/>
      <c r="L43" s="96"/>
      <c r="M43" s="96"/>
      <c r="N43" s="96"/>
      <c r="O43" s="93"/>
      <c r="P43" s="93"/>
      <c r="Q43" s="93"/>
      <c r="R43" s="93"/>
      <c r="S43" s="93"/>
    </row>
    <row r="44" spans="1:19" ht="13">
      <c r="A44" s="93"/>
      <c r="B44" s="93"/>
      <c r="C44" s="93"/>
      <c r="D44" s="101"/>
      <c r="E44" s="101"/>
      <c r="F44" s="93"/>
      <c r="G44" s="93"/>
      <c r="H44" s="93"/>
      <c r="I44" s="93"/>
      <c r="J44" s="93"/>
      <c r="K44" s="93"/>
      <c r="L44" s="96"/>
      <c r="M44" s="96"/>
      <c r="N44" s="96"/>
      <c r="O44" s="93"/>
      <c r="P44" s="93"/>
      <c r="Q44" s="93"/>
      <c r="R44" s="93"/>
      <c r="S44" s="93"/>
    </row>
    <row r="45" spans="1:19" ht="13">
      <c r="A45" s="93"/>
      <c r="B45" s="93"/>
      <c r="C45" s="93"/>
      <c r="D45" s="101"/>
      <c r="E45" s="101"/>
      <c r="F45" s="93"/>
      <c r="G45" s="93"/>
      <c r="H45" s="93"/>
      <c r="I45" s="93"/>
      <c r="J45" s="93"/>
      <c r="K45" s="93"/>
      <c r="L45" s="96"/>
      <c r="M45" s="96"/>
      <c r="N45" s="96"/>
      <c r="O45" s="93"/>
      <c r="P45" s="93"/>
      <c r="Q45" s="93"/>
      <c r="R45" s="93"/>
      <c r="S45" s="93"/>
    </row>
    <row r="46" spans="1:19" ht="13">
      <c r="A46" s="93"/>
      <c r="B46" s="93"/>
      <c r="C46" s="93"/>
      <c r="D46" s="101"/>
      <c r="E46" s="101"/>
      <c r="F46" s="93"/>
      <c r="G46" s="93"/>
      <c r="H46" s="93"/>
      <c r="I46" s="93"/>
      <c r="J46" s="93"/>
      <c r="K46" s="93"/>
      <c r="L46" s="96"/>
      <c r="M46" s="96"/>
      <c r="N46" s="96"/>
      <c r="O46" s="93"/>
      <c r="P46" s="93"/>
      <c r="Q46" s="93"/>
      <c r="R46" s="93"/>
      <c r="S46" s="93"/>
    </row>
    <row r="47" spans="1:19" ht="13">
      <c r="A47" s="93"/>
      <c r="B47" s="93"/>
      <c r="C47" s="93"/>
      <c r="D47" s="101"/>
      <c r="E47" s="101"/>
      <c r="F47" s="93"/>
      <c r="G47" s="93"/>
      <c r="H47" s="93"/>
      <c r="I47" s="93"/>
      <c r="J47" s="93"/>
      <c r="K47" s="93"/>
      <c r="L47" s="96"/>
      <c r="M47" s="96"/>
      <c r="N47" s="96"/>
      <c r="O47" s="93"/>
      <c r="P47" s="93"/>
      <c r="Q47" s="93"/>
      <c r="R47" s="93"/>
      <c r="S47" s="93"/>
    </row>
    <row r="48" spans="1:19" ht="13">
      <c r="A48" s="93"/>
      <c r="B48" s="93"/>
      <c r="C48" s="93"/>
      <c r="D48" s="101"/>
      <c r="E48" s="101"/>
      <c r="F48" s="93"/>
      <c r="G48" s="93"/>
      <c r="H48" s="93"/>
      <c r="I48" s="93"/>
      <c r="J48" s="93"/>
      <c r="K48" s="93"/>
      <c r="L48" s="96"/>
      <c r="M48" s="96"/>
      <c r="N48" s="96"/>
      <c r="O48" s="93"/>
      <c r="P48" s="93"/>
      <c r="Q48" s="93"/>
      <c r="R48" s="93"/>
      <c r="S48" s="93"/>
    </row>
    <row r="49" spans="1:19" ht="13">
      <c r="A49" s="93"/>
      <c r="B49" s="93"/>
      <c r="C49" s="93"/>
      <c r="D49" s="101"/>
      <c r="E49" s="101"/>
      <c r="F49" s="93"/>
      <c r="G49" s="93"/>
      <c r="H49" s="93"/>
      <c r="I49" s="93"/>
      <c r="J49" s="93"/>
      <c r="K49" s="93"/>
      <c r="L49" s="96"/>
      <c r="M49" s="96"/>
      <c r="N49" s="96"/>
      <c r="O49" s="93"/>
      <c r="P49" s="93"/>
      <c r="Q49" s="93"/>
      <c r="R49" s="93"/>
      <c r="S49" s="93"/>
    </row>
    <row r="50" spans="1:19" ht="13">
      <c r="A50" s="93"/>
      <c r="B50" s="93"/>
      <c r="C50" s="93"/>
      <c r="D50" s="101"/>
      <c r="E50" s="101"/>
      <c r="F50" s="93"/>
      <c r="G50" s="93"/>
      <c r="H50" s="93"/>
      <c r="I50" s="93"/>
      <c r="J50" s="93"/>
      <c r="K50" s="93"/>
      <c r="L50" s="96"/>
      <c r="M50" s="96"/>
      <c r="N50" s="96"/>
      <c r="O50" s="93"/>
      <c r="P50" s="93"/>
      <c r="Q50" s="93"/>
      <c r="R50" s="93"/>
      <c r="S50" s="93"/>
    </row>
  </sheetData>
  <dataValidations count="1">
    <dataValidation type="date" allowBlank="1" showInputMessage="1" showErrorMessage="1" sqref="L1:N1048576" xr:uid="{946366A8-DAF5-4D00-AC0A-63B332130B86}">
      <formula1>46023</formula1>
      <formula2>46387</formula2>
    </dataValidation>
  </dataValidations>
  <pageMargins left="0.7" right="0.7" top="0.75" bottom="0.75" header="0.3" footer="0.3"/>
  <legacy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D6083973-8F3D-4118-90C1-DB119B96F7F1}">
          <x14:formula1>
            <xm:f>Parametros!$B$2:$B$6</xm:f>
          </x14:formula1>
          <xm:sqref>R1:R1048576</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D8D04-F149-4280-83C3-FBF49FCD1676}">
  <dimension ref="B2:L23"/>
  <sheetViews>
    <sheetView topLeftCell="A4" workbookViewId="0">
      <selection activeCell="E22" sqref="E22"/>
    </sheetView>
  </sheetViews>
  <sheetFormatPr baseColWidth="10" defaultColWidth="11.453125" defaultRowHeight="14.5"/>
  <cols>
    <col min="3" max="3" width="17.81640625" bestFit="1" customWidth="1"/>
    <col min="4" max="4" width="17" bestFit="1" customWidth="1"/>
    <col min="7" max="7" width="17.81640625" bestFit="1" customWidth="1"/>
    <col min="8" max="8" width="17" bestFit="1" customWidth="1"/>
    <col min="11" max="11" width="17.81640625" bestFit="1" customWidth="1"/>
    <col min="12" max="12" width="17" bestFit="1" customWidth="1"/>
  </cols>
  <sheetData>
    <row r="2" spans="2:12">
      <c r="B2" t="s">
        <v>993</v>
      </c>
      <c r="F2" t="s">
        <v>994</v>
      </c>
      <c r="J2" t="s">
        <v>995</v>
      </c>
    </row>
    <row r="3" spans="2:12">
      <c r="C3" s="6"/>
      <c r="D3" s="6"/>
      <c r="G3" s="1"/>
      <c r="H3" s="1"/>
      <c r="K3" s="1"/>
      <c r="L3" s="1"/>
    </row>
    <row r="4" spans="2:12">
      <c r="C4" s="73" t="s">
        <v>596</v>
      </c>
      <c r="D4" t="s">
        <v>869</v>
      </c>
      <c r="G4" s="73" t="s">
        <v>596</v>
      </c>
      <c r="H4" t="s">
        <v>869</v>
      </c>
      <c r="K4" s="73" t="s">
        <v>596</v>
      </c>
      <c r="L4" t="s">
        <v>869</v>
      </c>
    </row>
    <row r="5" spans="2:12">
      <c r="C5" s="71" t="s">
        <v>996</v>
      </c>
      <c r="G5" s="71" t="s">
        <v>179</v>
      </c>
      <c r="H5">
        <v>12</v>
      </c>
      <c r="K5" s="71" t="s">
        <v>996</v>
      </c>
    </row>
    <row r="6" spans="2:12">
      <c r="C6" s="71" t="s">
        <v>179</v>
      </c>
      <c r="D6">
        <v>4</v>
      </c>
      <c r="G6" s="71" t="s">
        <v>91</v>
      </c>
      <c r="H6">
        <v>3</v>
      </c>
      <c r="K6" s="71" t="s">
        <v>91</v>
      </c>
      <c r="L6">
        <v>36</v>
      </c>
    </row>
    <row r="7" spans="2:12">
      <c r="C7" s="71" t="s">
        <v>103</v>
      </c>
      <c r="D7">
        <v>7</v>
      </c>
      <c r="G7" s="71" t="s">
        <v>675</v>
      </c>
      <c r="H7">
        <v>15</v>
      </c>
      <c r="K7" s="71" t="s">
        <v>103</v>
      </c>
      <c r="L7">
        <v>41</v>
      </c>
    </row>
    <row r="8" spans="2:12">
      <c r="C8" s="71" t="s">
        <v>91</v>
      </c>
      <c r="D8">
        <v>5</v>
      </c>
      <c r="K8" s="71" t="s">
        <v>169</v>
      </c>
      <c r="L8">
        <v>3</v>
      </c>
    </row>
    <row r="9" spans="2:12">
      <c r="C9" s="71" t="s">
        <v>169</v>
      </c>
      <c r="D9">
        <v>1</v>
      </c>
      <c r="K9" s="71" t="s">
        <v>179</v>
      </c>
      <c r="L9">
        <v>2</v>
      </c>
    </row>
    <row r="10" spans="2:12">
      <c r="C10" s="71" t="s">
        <v>675</v>
      </c>
      <c r="D10">
        <v>17</v>
      </c>
      <c r="K10" s="71" t="s">
        <v>675</v>
      </c>
      <c r="L10">
        <v>82</v>
      </c>
    </row>
    <row r="12" spans="2:12">
      <c r="B12" t="s">
        <v>997</v>
      </c>
      <c r="F12" t="s">
        <v>998</v>
      </c>
      <c r="J12" t="s">
        <v>999</v>
      </c>
    </row>
    <row r="13" spans="2:12">
      <c r="G13" s="93"/>
      <c r="H13" s="93"/>
      <c r="K13" s="43"/>
      <c r="L13" s="42"/>
    </row>
    <row r="14" spans="2:12">
      <c r="C14" s="73" t="s">
        <v>596</v>
      </c>
      <c r="D14" t="s">
        <v>869</v>
      </c>
      <c r="G14" s="73" t="s">
        <v>596</v>
      </c>
      <c r="H14" t="s">
        <v>869</v>
      </c>
      <c r="K14" s="73" t="s">
        <v>596</v>
      </c>
      <c r="L14" t="s">
        <v>869</v>
      </c>
    </row>
    <row r="15" spans="2:12">
      <c r="C15" s="71" t="s">
        <v>675</v>
      </c>
      <c r="G15" s="71" t="s">
        <v>169</v>
      </c>
      <c r="H15">
        <v>7</v>
      </c>
      <c r="K15" s="71" t="s">
        <v>179</v>
      </c>
      <c r="L15">
        <v>20</v>
      </c>
    </row>
    <row r="16" spans="2:12">
      <c r="G16" s="71" t="s">
        <v>103</v>
      </c>
      <c r="H16">
        <v>4</v>
      </c>
      <c r="K16" s="71" t="s">
        <v>169</v>
      </c>
      <c r="L16">
        <v>13</v>
      </c>
    </row>
    <row r="17" spans="4:12">
      <c r="G17" s="71" t="s">
        <v>179</v>
      </c>
      <c r="H17">
        <v>1</v>
      </c>
      <c r="K17" s="71" t="s">
        <v>675</v>
      </c>
      <c r="L17">
        <v>33</v>
      </c>
    </row>
    <row r="18" spans="4:12">
      <c r="G18" s="71" t="s">
        <v>675</v>
      </c>
      <c r="H18">
        <v>12</v>
      </c>
    </row>
    <row r="22" spans="4:12">
      <c r="D22" t="s">
        <v>1000</v>
      </c>
      <c r="E22">
        <f>+D19+D8+H7+H18+L17+L7</f>
        <v>106</v>
      </c>
    </row>
    <row r="23" spans="4:12">
      <c r="E23">
        <f>+D6+L15+D15</f>
        <v>24</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5800F-0740-4A6F-AE23-44EF81B2617C}">
  <dimension ref="A1:T320"/>
  <sheetViews>
    <sheetView topLeftCell="H1" workbookViewId="0">
      <selection activeCell="B296" sqref="B296"/>
    </sheetView>
  </sheetViews>
  <sheetFormatPr baseColWidth="10" defaultColWidth="8.54296875" defaultRowHeight="14.5"/>
  <cols>
    <col min="1" max="1" width="8.81640625" bestFit="1" customWidth="1"/>
    <col min="2" max="2" width="22.453125" bestFit="1" customWidth="1"/>
    <col min="3" max="3" width="12.54296875" customWidth="1"/>
    <col min="4" max="4" width="50.7265625" customWidth="1"/>
    <col min="5" max="5" width="19" customWidth="1"/>
    <col min="6" max="6" width="21.1796875" customWidth="1"/>
    <col min="7" max="7" width="29.54296875" customWidth="1"/>
    <col min="8" max="8" width="34.54296875" customWidth="1"/>
    <col min="9" max="9" width="21.81640625" customWidth="1"/>
    <col min="10" max="10" width="8.54296875" bestFit="1" customWidth="1"/>
    <col min="11" max="11" width="19.81640625" style="183" customWidth="1"/>
    <col min="12" max="12" width="17.26953125" style="183" customWidth="1"/>
    <col min="13" max="13" width="26.54296875" style="188" customWidth="1"/>
    <col min="14" max="14" width="26" customWidth="1"/>
    <col min="15" max="15" width="25.81640625" customWidth="1"/>
    <col min="16" max="16" width="23.1796875" customWidth="1"/>
    <col min="17" max="17" width="10.81640625" bestFit="1" customWidth="1"/>
    <col min="18" max="18" width="15.1796875" bestFit="1" customWidth="1"/>
    <col min="19" max="19" width="26.453125" customWidth="1"/>
    <col min="20" max="20" width="13.453125" bestFit="1" customWidth="1"/>
  </cols>
  <sheetData>
    <row r="1" spans="1:20" s="6" customFormat="1">
      <c r="A1" s="173" t="s">
        <v>1001</v>
      </c>
      <c r="B1" s="173" t="s">
        <v>0</v>
      </c>
      <c r="C1" s="173" t="s">
        <v>20</v>
      </c>
      <c r="D1" s="173" t="s">
        <v>81</v>
      </c>
      <c r="E1" s="173" t="s">
        <v>22</v>
      </c>
      <c r="F1" s="173" t="s">
        <v>23</v>
      </c>
      <c r="G1" s="173" t="s">
        <v>24</v>
      </c>
      <c r="H1" s="173" t="s">
        <v>25</v>
      </c>
      <c r="I1" s="173" t="s">
        <v>26</v>
      </c>
      <c r="J1" s="173" t="s">
        <v>27</v>
      </c>
      <c r="K1" s="186" t="s">
        <v>28</v>
      </c>
      <c r="L1" s="186" t="s">
        <v>82</v>
      </c>
      <c r="M1" s="187" t="s">
        <v>29</v>
      </c>
      <c r="N1" s="173" t="s">
        <v>30</v>
      </c>
      <c r="O1" s="173" t="s">
        <v>31</v>
      </c>
      <c r="P1" s="173" t="s">
        <v>32</v>
      </c>
      <c r="Q1" s="173" t="s">
        <v>33</v>
      </c>
      <c r="R1" s="173" t="s">
        <v>34</v>
      </c>
      <c r="S1" s="173" t="s">
        <v>83</v>
      </c>
      <c r="T1" s="173" t="s">
        <v>1002</v>
      </c>
    </row>
    <row r="2" spans="1:20">
      <c r="A2" cm="1">
        <f t="array" ref="A2:T320">+_xlfn.VSTACK('Canal Digital'!B3:U19,'Canal Asistidos'!B4:U138,Integración!B3:U17,'Cards y Payments'!B3:U27,'Migración de Datos'!B3:U35,'Aplicaciones de Soporte'!B4:U85,Data!B2:U13)</f>
        <v>1</v>
      </c>
      <c r="B2" t="str">
        <v>Canal Digital</v>
      </c>
      <c r="C2" t="str">
        <v>Mapa</v>
      </c>
      <c r="D2" t="str">
        <v>App-Login</v>
      </c>
      <c r="E2" t="str">
        <v>Canal Digital</v>
      </c>
      <c r="F2" t="str">
        <v>Interno-negocio SCB</v>
      </c>
      <c r="G2" t="str">
        <v>Deficion Filtros - query de listado de clientes BT para crear usuario digital en SSS-Dynamo.</v>
      </c>
      <c r="H2" t="str">
        <v>Definir en conjunto con Angela y Carina los filtros a considerar en el query de consulta a la BD Bantotal para obtener listado de clientes a migrar a SSS-Dynamo para que se creen los usuarios digitales con clave en blanco(para resetear).</v>
      </c>
      <c r="I2" t="str">
        <v>Funcional</v>
      </c>
      <c r="J2" t="str">
        <v>Medio</v>
      </c>
      <c r="K2" s="183">
        <v>46058</v>
      </c>
      <c r="L2" s="183">
        <v>46104</v>
      </c>
      <c r="M2" s="188">
        <v>46143</v>
      </c>
      <c r="N2">
        <v>0</v>
      </c>
      <c r="O2" t="str">
        <v xml:space="preserve">Angela </v>
      </c>
      <c r="P2" t="b">
        <v>1</v>
      </c>
      <c r="Q2" t="str">
        <v>4.Resuelta</v>
      </c>
      <c r="R2" t="str">
        <v>Digital</v>
      </c>
      <c r="S2" t="str">
        <v>- Confirmar fecha</v>
      </c>
      <c r="T2" t="str">
        <v>S</v>
      </c>
    </row>
    <row r="3" spans="1:20">
      <c r="A3">
        <v>2</v>
      </c>
      <c r="B3" t="str">
        <v>Canal Digital</v>
      </c>
      <c r="C3" t="str">
        <v>Mapa</v>
      </c>
      <c r="D3" t="str">
        <v>App-Login</v>
      </c>
      <c r="E3" t="str">
        <v>Canal Digital</v>
      </c>
      <c r="F3" t="str">
        <v>ODS</v>
      </c>
      <c r="G3" t="str">
        <v>Definir por parte de SSS la ruta donde desea que llegue el archivo de clientes migrados</v>
      </c>
      <c r="H3">
        <v>0</v>
      </c>
      <c r="I3" t="str">
        <v>Técnica</v>
      </c>
      <c r="J3" t="str">
        <v>Medio</v>
      </c>
      <c r="K3" s="183">
        <v>46058</v>
      </c>
      <c r="L3" s="183">
        <v>46146</v>
      </c>
      <c r="M3" s="188">
        <v>0</v>
      </c>
      <c r="N3">
        <v>0</v>
      </c>
      <c r="O3" t="str">
        <v>ODS</v>
      </c>
      <c r="P3" t="b">
        <v>1</v>
      </c>
      <c r="Q3" t="str">
        <v>4.Resuelta</v>
      </c>
      <c r="R3">
        <v>0</v>
      </c>
      <c r="S3">
        <v>0</v>
      </c>
      <c r="T3" t="str">
        <v>S</v>
      </c>
    </row>
    <row r="4" spans="1:20">
      <c r="A4">
        <v>3</v>
      </c>
      <c r="B4" t="str">
        <v>Canal Digital</v>
      </c>
      <c r="C4" t="str">
        <v>Mapa</v>
      </c>
      <c r="D4" t="str">
        <v>App-Login</v>
      </c>
      <c r="E4" t="str">
        <v>Canal Digital</v>
      </c>
      <c r="F4" t="str">
        <v>ODS</v>
      </c>
      <c r="G4" t="str">
        <v>Procedimiento en SSS para carga de archivo de clientes migrados</v>
      </c>
      <c r="H4" t="str">
        <v xml:space="preserve">contar con Procedimiento/script implementado por SSS para cargar de archivo de clientes migrados. </v>
      </c>
      <c r="I4" t="str">
        <v>Técnica</v>
      </c>
      <c r="J4" t="str">
        <v>Medio</v>
      </c>
      <c r="K4" s="183">
        <v>46058</v>
      </c>
      <c r="L4" s="183">
        <v>46299</v>
      </c>
      <c r="M4" s="188" t="str">
        <v>TBD</v>
      </c>
      <c r="N4">
        <v>0</v>
      </c>
      <c r="O4" t="str">
        <v>Virginia C.</v>
      </c>
      <c r="P4" t="b">
        <v>1</v>
      </c>
      <c r="Q4" t="str">
        <v>1.Identificada</v>
      </c>
      <c r="R4" t="str">
        <v>Digital</v>
      </c>
      <c r="S4" t="str">
        <v>- Confirmar fecha</v>
      </c>
      <c r="T4" t="str">
        <v>S</v>
      </c>
    </row>
    <row r="5" spans="1:20">
      <c r="A5">
        <v>4</v>
      </c>
      <c r="B5" t="str">
        <v>Canal Digital</v>
      </c>
      <c r="C5" t="str">
        <v>Mapa</v>
      </c>
      <c r="D5" t="str">
        <v>App-Recuperar Contraseña</v>
      </c>
      <c r="E5" t="str">
        <v>Canal Digital</v>
      </c>
      <c r="F5" t="str">
        <v>Prevencion de fraudes</v>
      </c>
      <c r="G5" t="str">
        <v>Definicion de trama (campos) requerida por PF para monitorear la funcionalidad de recuperar contraseña</v>
      </c>
      <c r="H5" t="str">
        <v>Ya se han realizado sessiones de trabajo con equipo de prevencion de fraudes y definido tramas para las funcionalidades del P1 , solo estaría quedando pendiente para el P1 la trama para la funcionalidad de recuperar contraseña</v>
      </c>
      <c r="I5" t="str">
        <v>Funcional</v>
      </c>
      <c r="J5" t="str">
        <v>Baja</v>
      </c>
      <c r="K5" s="183">
        <v>46058</v>
      </c>
      <c r="L5" s="183">
        <v>46144</v>
      </c>
      <c r="M5" s="188" t="str">
        <v>TBD</v>
      </c>
      <c r="N5">
        <v>0</v>
      </c>
      <c r="O5" t="str">
        <v>Maria Flores</v>
      </c>
      <c r="P5" t="b">
        <v>1</v>
      </c>
      <c r="Q5" t="str">
        <v>2.Solicitada</v>
      </c>
      <c r="R5" t="str">
        <v>Digital</v>
      </c>
      <c r="S5" t="str">
        <v>- Confirmar fecha</v>
      </c>
      <c r="T5" t="str">
        <v>S</v>
      </c>
    </row>
    <row r="6" spans="1:20">
      <c r="A6">
        <v>5</v>
      </c>
      <c r="B6" t="str">
        <v>Canal Digital</v>
      </c>
      <c r="C6" t="str">
        <v>Mapa</v>
      </c>
      <c r="D6" t="str">
        <v>App-Pago de Tarjeta de credito</v>
      </c>
      <c r="E6" t="str">
        <v>Canal Digital</v>
      </c>
      <c r="F6" t="str">
        <v>CM</v>
      </c>
      <c r="G6" t="str">
        <v>Disponibilidad del CM en ambiente TEST para configurar plantilla de notificacion</v>
      </c>
      <c r="H6" t="str">
        <v>Disponibilidad del CM en ambiente TEST para configurar plantilla de notificacion</v>
      </c>
      <c r="I6" t="str">
        <v>Técnica</v>
      </c>
      <c r="J6" t="str">
        <v>Medio</v>
      </c>
      <c r="K6" s="183">
        <v>46127</v>
      </c>
      <c r="L6" s="183">
        <v>0</v>
      </c>
      <c r="M6" s="188" t="str">
        <v>TBD</v>
      </c>
      <c r="N6">
        <v>0</v>
      </c>
      <c r="O6" t="str">
        <v>New LT CM</v>
      </c>
      <c r="P6" t="b">
        <v>0</v>
      </c>
      <c r="Q6" t="str">
        <v>1.Identificada</v>
      </c>
      <c r="R6" t="str">
        <v>Digital</v>
      </c>
      <c r="S6">
        <v>0</v>
      </c>
      <c r="T6" t="str">
        <v>S</v>
      </c>
    </row>
    <row r="7" spans="1:20">
      <c r="A7">
        <v>6</v>
      </c>
      <c r="B7" t="str">
        <v>Canal Digital</v>
      </c>
      <c r="C7" t="str">
        <v>Mapa</v>
      </c>
      <c r="D7" t="str">
        <v>App - Interoperabilidad</v>
      </c>
      <c r="E7" t="str">
        <v>Canal Digital</v>
      </c>
      <c r="F7" t="str">
        <v>BT / Apis Globales / CD</v>
      </c>
      <c r="G7" t="str">
        <v>Definir apis requeridas que BT tiene que implementar para interoperabilidad</v>
      </c>
      <c r="H7" t="str">
        <v>Sessiones de trabajo en conjunto con Bantotal, apis globales, Payments y canales digitales para definir las apis que BT debe implementar para soportar y probar la funcionalidad de Interoperabilidad</v>
      </c>
      <c r="I7" t="str">
        <v>Técnica</v>
      </c>
      <c r="J7" t="str">
        <v>Alta</v>
      </c>
      <c r="K7" s="183">
        <v>46127</v>
      </c>
      <c r="L7" s="183">
        <v>0</v>
      </c>
      <c r="M7" s="188" t="str">
        <v>TBD</v>
      </c>
      <c r="N7">
        <v>0</v>
      </c>
      <c r="O7" t="str">
        <v>Arnol Ingunza</v>
      </c>
      <c r="P7" t="b">
        <v>0</v>
      </c>
      <c r="Q7" t="str">
        <v>1.Identificada</v>
      </c>
      <c r="R7" t="str">
        <v>Digital</v>
      </c>
      <c r="S7">
        <v>0</v>
      </c>
      <c r="T7" t="str">
        <v>S</v>
      </c>
    </row>
    <row r="8" spans="1:20">
      <c r="A8">
        <v>7</v>
      </c>
      <c r="B8" t="str">
        <v>Canal Digital</v>
      </c>
      <c r="C8" t="str">
        <v>Mapa</v>
      </c>
      <c r="D8" t="str">
        <v>App - Interoperabilidad</v>
      </c>
      <c r="E8" t="str">
        <v>Canal Digital</v>
      </c>
      <c r="F8" t="str">
        <v>BT</v>
      </c>
      <c r="G8" t="str">
        <v>plan de apis BT de interoperabilidad</v>
      </c>
      <c r="H8" t="str">
        <v>posterior a session de definicion de apis BT , se debe obtener un plan de apis con fechas comprometidas en las que se van a poder utilizar por el canal App</v>
      </c>
      <c r="I8" t="str">
        <v>Técnica</v>
      </c>
      <c r="J8" t="str">
        <v>Alta</v>
      </c>
      <c r="K8" s="183">
        <v>46134</v>
      </c>
      <c r="L8" s="183">
        <v>0</v>
      </c>
      <c r="M8" s="188" t="str">
        <v>TBD</v>
      </c>
      <c r="N8">
        <v>0</v>
      </c>
      <c r="O8" t="str">
        <v>Julio Palomino</v>
      </c>
      <c r="P8" t="b">
        <v>0</v>
      </c>
      <c r="Q8" t="str">
        <v>1.Identificada</v>
      </c>
      <c r="R8" t="str">
        <v>Digital</v>
      </c>
      <c r="S8">
        <v>0</v>
      </c>
      <c r="T8" t="str">
        <v>S</v>
      </c>
    </row>
    <row r="9" spans="1:20">
      <c r="A9">
        <v>8</v>
      </c>
      <c r="B9" t="str">
        <v>Canal Digital</v>
      </c>
      <c r="C9" t="str">
        <v>Mapa</v>
      </c>
      <c r="D9" t="str">
        <v>App - transferencias inmediatas interbancarias</v>
      </c>
      <c r="E9" t="str">
        <v>Canal Digital</v>
      </c>
      <c r="F9" t="str">
        <v>ODS</v>
      </c>
      <c r="G9" t="str">
        <v>Publicacion de cambios tecnicos por version ODS R10</v>
      </c>
      <c r="H9" t="str">
        <v>Analisis de impacto posterior a la publicacion de cambios tecnicos por R10 (comentado para fin de abril) para la implementacion de funcionalidad de transferencias inmediatas</v>
      </c>
      <c r="I9" t="str">
        <v>Técnica</v>
      </c>
      <c r="J9" t="str">
        <v>Alta</v>
      </c>
      <c r="K9" s="183">
        <v>46058</v>
      </c>
      <c r="L9" s="183">
        <v>46144</v>
      </c>
      <c r="M9" s="188" t="str">
        <v>TBD</v>
      </c>
      <c r="N9">
        <v>0</v>
      </c>
      <c r="O9" t="str">
        <v>Ana Marcos</v>
      </c>
      <c r="P9" t="b">
        <v>0</v>
      </c>
      <c r="Q9" t="str">
        <v>1.Identificada</v>
      </c>
      <c r="R9" t="str">
        <v>Digital</v>
      </c>
      <c r="S9" t="str">
        <v>- Confirmar fecha</v>
      </c>
      <c r="T9" t="str">
        <v>S</v>
      </c>
    </row>
    <row r="10" spans="1:20">
      <c r="A10">
        <v>9</v>
      </c>
      <c r="B10" t="str">
        <v>Canal Digital</v>
      </c>
      <c r="C10" t="str">
        <v>Mapa</v>
      </c>
      <c r="D10" t="str">
        <v>App - Pago de prestamo</v>
      </c>
      <c r="E10" t="str">
        <v>Canal Digital</v>
      </c>
      <c r="F10" t="str">
        <v>ODS</v>
      </c>
      <c r="G10" t="str">
        <v>liberacion de nueva version ODS R10 para el programa Perú</v>
      </c>
      <c r="H10" t="str">
        <v>Revisión funcional, tecnica y de experiencia post liberacion de nueva version R10 ODS</v>
      </c>
      <c r="I10" t="str">
        <v>Técnica</v>
      </c>
      <c r="J10" t="str">
        <v>Alta</v>
      </c>
      <c r="K10" s="183">
        <v>46060</v>
      </c>
      <c r="L10" s="183">
        <v>46205</v>
      </c>
      <c r="M10" s="188" t="str">
        <v>TBD</v>
      </c>
      <c r="N10">
        <v>0</v>
      </c>
      <c r="O10" t="str">
        <v>Ana Marcos</v>
      </c>
      <c r="P10" t="b">
        <v>0</v>
      </c>
      <c r="Q10" t="str">
        <v>2.Solicitada</v>
      </c>
      <c r="R10" t="str">
        <v>Digital</v>
      </c>
      <c r="S10" t="str">
        <v>- Confirmar fecha
- Donde está la solicitud</v>
      </c>
      <c r="T10" t="str">
        <v>S</v>
      </c>
    </row>
    <row r="11" spans="1:20">
      <c r="A11">
        <v>10</v>
      </c>
      <c r="B11" t="str">
        <v>Canal Digital</v>
      </c>
      <c r="C11" t="str">
        <v>Mapa</v>
      </c>
      <c r="D11" t="str">
        <v>App - Enrolamiento del dispositivo de confianza</v>
      </c>
      <c r="E11" t="str">
        <v>Canal Digital</v>
      </c>
      <c r="F11" t="str">
        <v>ODS</v>
      </c>
      <c r="G11" t="str">
        <v>liberar capacidad de biometría con Reniec de parte de ODS en R10 para enrolamiento dispositivo</v>
      </c>
      <c r="H11" t="str">
        <v>liberar capacidad de biometría con Reniec de parte de ODS en R10 para incluirlo como reto de seguridad en enrolamiento de dispositivo.</v>
      </c>
      <c r="I11" t="str">
        <v>Técnica</v>
      </c>
      <c r="J11" t="str">
        <v>Alta</v>
      </c>
      <c r="K11" s="183">
        <v>46060</v>
      </c>
      <c r="L11" s="183">
        <v>46205</v>
      </c>
      <c r="M11" s="188" t="str">
        <v>TBD</v>
      </c>
      <c r="N11">
        <v>0</v>
      </c>
      <c r="O11" t="str">
        <v>Ana Marcos</v>
      </c>
      <c r="P11" t="b">
        <v>0</v>
      </c>
      <c r="Q11" t="str">
        <v>2.Solicitada</v>
      </c>
      <c r="R11" t="str">
        <v>Digital</v>
      </c>
      <c r="S11" t="str">
        <v>- Confirmar fecha
- Donde está la solicitud</v>
      </c>
      <c r="T11" t="str">
        <v>S</v>
      </c>
    </row>
    <row r="12" spans="1:20">
      <c r="A12">
        <v>11</v>
      </c>
      <c r="B12" t="str">
        <v>Canal Digital</v>
      </c>
      <c r="C12" t="str">
        <v>Mapa</v>
      </c>
      <c r="D12" t="str">
        <v>App-Cross</v>
      </c>
      <c r="E12" t="str">
        <v>Canal Digital</v>
      </c>
      <c r="F12" t="str">
        <v>ODS</v>
      </c>
      <c r="G12" t="str">
        <v>Publicacion de apis impactadas por version ODS R10</v>
      </c>
      <c r="H12" t="str">
        <v>Se requiere la publicacion del listado de apis globales a consumir por el canal, impactadas por nueva version ODS con su detalle respectivo. Con ello realizar una analisis general de impacto en  todas las funcionalidades del canal</v>
      </c>
      <c r="I12" t="str">
        <v>Técnica</v>
      </c>
      <c r="J12" t="str">
        <v>Alta</v>
      </c>
      <c r="K12" s="183">
        <v>46058</v>
      </c>
      <c r="L12" s="183">
        <v>46144</v>
      </c>
      <c r="M12" s="188" t="str">
        <v>TBD</v>
      </c>
      <c r="N12">
        <v>0</v>
      </c>
      <c r="O12" t="str">
        <v>Ana Marcos</v>
      </c>
      <c r="P12" t="b">
        <v>0</v>
      </c>
      <c r="Q12" t="str">
        <v>1.Identificada</v>
      </c>
      <c r="R12" t="str">
        <v>Digital</v>
      </c>
      <c r="S12" t="str">
        <v>- Confirmar fecha
- Donde está la solicitud</v>
      </c>
      <c r="T12" t="str">
        <v>S</v>
      </c>
    </row>
    <row r="13" spans="1:20">
      <c r="A13">
        <v>12</v>
      </c>
      <c r="B13" t="str">
        <v>Canal Digital</v>
      </c>
      <c r="C13" t="str">
        <v>Mapa</v>
      </c>
      <c r="D13" t="str">
        <v>App-Cross</v>
      </c>
      <c r="E13" t="str">
        <v>Canal Digital</v>
      </c>
      <c r="F13" t="str">
        <v>ODS</v>
      </c>
      <c r="G13" t="str">
        <v>Figmas tropicalizados Peru de Funcionalidades PI2</v>
      </c>
      <c r="H13" t="str">
        <v>Diseño de Figmas Tropicalizados de PI2 (Cards, Frontend Services, Security, Loans, PG, Deposits)</v>
      </c>
      <c r="I13" t="str">
        <v>Funcional</v>
      </c>
      <c r="J13" t="str">
        <v>Alta</v>
      </c>
      <c r="K13" s="183">
        <v>46101</v>
      </c>
      <c r="L13" s="183">
        <v>0</v>
      </c>
      <c r="M13" s="188">
        <v>46101</v>
      </c>
      <c r="N13">
        <v>0</v>
      </c>
      <c r="O13" t="str">
        <v>Ana Marcos</v>
      </c>
      <c r="P13" t="b">
        <v>1</v>
      </c>
      <c r="Q13" t="str">
        <v>4.Resuelta</v>
      </c>
      <c r="R13" t="str">
        <v>Digital</v>
      </c>
      <c r="S13" t="str">
        <v xml:space="preserve">De las epicas 14 ya solicitadas - ok
</v>
      </c>
      <c r="T13" t="str">
        <v>S</v>
      </c>
    </row>
    <row r="14" spans="1:20">
      <c r="A14">
        <v>13</v>
      </c>
      <c r="B14" t="str">
        <v>Canal Digital</v>
      </c>
      <c r="C14" t="str">
        <v>Mapa</v>
      </c>
      <c r="D14" t="str">
        <v>App-Cross</v>
      </c>
      <c r="E14" t="str">
        <v>Canal Digital</v>
      </c>
      <c r="F14" t="str">
        <v>ODS</v>
      </c>
      <c r="G14" t="str">
        <v xml:space="preserve">scripts de pruebas automatizadas de PI 1 subidos en su GITHUB </v>
      </c>
      <c r="H14" t="str">
        <v>Lo coordinado con ODS es que compartan sus scripts automatizados para hacerle adecuaciones para ejecucion de pruebas end to end Perú. se espera que estos scripts lleguen a finales de marzo, maximo primera semana de abril (funcionalidades :device manager, app information, customer landing, personal detail, account detail)</v>
      </c>
      <c r="I14" t="str">
        <v>Técnica</v>
      </c>
      <c r="J14" t="str">
        <v>Medio</v>
      </c>
      <c r="K14" s="183">
        <v>46112</v>
      </c>
      <c r="L14" s="183">
        <v>0</v>
      </c>
      <c r="M14" s="188">
        <v>46238</v>
      </c>
      <c r="N14">
        <v>0</v>
      </c>
      <c r="O14" t="str">
        <v>Ana Marcos</v>
      </c>
      <c r="P14" t="b">
        <v>0</v>
      </c>
      <c r="Q14" t="str">
        <v>2.Solicitada</v>
      </c>
      <c r="R14" t="str">
        <v>Digital</v>
      </c>
      <c r="S14">
        <v>0</v>
      </c>
      <c r="T14" t="str">
        <v>S</v>
      </c>
    </row>
    <row r="15" spans="1:20">
      <c r="A15">
        <v>14</v>
      </c>
      <c r="B15" t="str">
        <v>Canal Digital</v>
      </c>
      <c r="C15" t="str">
        <v>Mapa</v>
      </c>
      <c r="D15" t="str">
        <v>App-Cross</v>
      </c>
      <c r="E15" t="str">
        <v>Canal Digital</v>
      </c>
      <c r="F15" t="str">
        <v>ODS</v>
      </c>
      <c r="G15" t="str">
        <v>entrega de apis globales PI 2 - en fechas planificadas</v>
      </c>
      <c r="H15" t="str">
        <v xml:space="preserve">Contar con la entrega de endpoints planificados para el PI 2 :
-D0-046-V3, D1-078, D1-081, D1-084, D1-001
-D1-111_v2, D1-169, D1-173, D1-204, D1-002
-D0-072_v2, D1-120, D1-121, D2-001, D1-007
</v>
      </c>
      <c r="I15" t="str">
        <v>Técnica</v>
      </c>
      <c r="J15" t="str">
        <v>Medio</v>
      </c>
      <c r="K15" s="183">
        <v>46299</v>
      </c>
      <c r="L15" s="183">
        <v>0</v>
      </c>
      <c r="M15" s="188">
        <v>46299</v>
      </c>
      <c r="N15">
        <v>0</v>
      </c>
      <c r="O15" t="str">
        <v>Ana Marcos</v>
      </c>
      <c r="P15" t="b">
        <v>0</v>
      </c>
      <c r="Q15" t="str">
        <v>2.Solicitada</v>
      </c>
      <c r="R15" t="str">
        <v>Digital</v>
      </c>
      <c r="S15">
        <v>0</v>
      </c>
      <c r="T15" t="str">
        <v>N</v>
      </c>
    </row>
    <row r="16" spans="1:20">
      <c r="A16">
        <v>15</v>
      </c>
      <c r="B16" t="str">
        <v>Canal Digital</v>
      </c>
      <c r="C16" t="str">
        <v>Mapa</v>
      </c>
      <c r="D16" t="str">
        <v>App-Cross</v>
      </c>
      <c r="E16" t="str">
        <v>Canal Digital</v>
      </c>
      <c r="F16" t="str">
        <v>ODS</v>
      </c>
      <c r="G16" t="str">
        <v>Figmas tropicalizados Peru de Funcionalidades PI2 ampliado</v>
      </c>
      <c r="H16" t="str">
        <v>Se ha solicita 3 épicas adicionales, pendiente entrega de los figmas personalizados</v>
      </c>
      <c r="I16" t="str">
        <v>Funcional</v>
      </c>
      <c r="J16" t="str">
        <v>Media</v>
      </c>
      <c r="K16" s="183">
        <v>46142</v>
      </c>
      <c r="L16" s="183">
        <v>0</v>
      </c>
      <c r="M16" s="188">
        <v>46142</v>
      </c>
      <c r="N16">
        <v>0</v>
      </c>
      <c r="O16" t="str">
        <v>Ana Marcos</v>
      </c>
      <c r="P16" t="b">
        <v>1</v>
      </c>
      <c r="Q16" t="str">
        <v>3.En progreso</v>
      </c>
      <c r="R16">
        <v>0</v>
      </c>
      <c r="S16" t="str">
        <v>De las nuevas solicitudes, la fecha de entrega es al 30/04</v>
      </c>
      <c r="T16" t="str">
        <v>S</v>
      </c>
    </row>
    <row r="17" spans="1:20">
      <c r="A17">
        <v>16</v>
      </c>
      <c r="B17" t="str">
        <v>Canal Digital</v>
      </c>
      <c r="C17" t="str">
        <v>Mapa</v>
      </c>
      <c r="D17" t="str">
        <v>PG: Espacios conversacionales - ofertas preaprobadas</v>
      </c>
      <c r="E17" t="str">
        <v>Canal Digital</v>
      </c>
      <c r="F17" t="str">
        <v>Canal digital-equipo interno</v>
      </c>
      <c r="G17" t="str">
        <v>Implementar un front backoffice para gestionar las imagenes y estilos para espacios conversacionales</v>
      </c>
      <c r="H17" t="str">
        <v>Implementar un front backoffice para gestionar las imagenes y los estilos de  titulos y textos a mostrar en los espacios conversaciones que es el primer paso para un proceso de contracting.</v>
      </c>
      <c r="I17" t="str">
        <v>Técnica</v>
      </c>
      <c r="J17" t="str">
        <v>Medio</v>
      </c>
      <c r="K17" s="183">
        <v>46235</v>
      </c>
      <c r="L17" s="183">
        <v>46235</v>
      </c>
      <c r="M17" s="188">
        <v>46030</v>
      </c>
      <c r="N17">
        <v>0</v>
      </c>
      <c r="O17" t="str">
        <v>Luis Rosales</v>
      </c>
      <c r="P17" t="b">
        <v>1</v>
      </c>
      <c r="Q17" t="str">
        <v>1.Identificada</v>
      </c>
      <c r="R17" t="str">
        <v>Digital</v>
      </c>
      <c r="S17" t="str">
        <v>- Revisar fecha</v>
      </c>
      <c r="T17" t="str">
        <v>N</v>
      </c>
    </row>
    <row r="18" spans="1:20">
      <c r="A18">
        <v>17</v>
      </c>
      <c r="B18" t="str">
        <v>Canal Digital</v>
      </c>
      <c r="C18" t="str">
        <v>Mapa</v>
      </c>
      <c r="D18" t="str">
        <v>PG : Visualizar lista de productos disponibles del cliente</v>
      </c>
      <c r="E18" t="str">
        <v>Canal Digital</v>
      </c>
      <c r="F18" t="str">
        <v>Negocio Pasivos</v>
      </c>
      <c r="G18" t="str">
        <v>Cerrar estados de tarjetas de credito</v>
      </c>
      <c r="H18" t="str">
        <v xml:space="preserve">Se necesita que negocio cierre todos los estados que pueda manejar las tarjetas de Crédito dentro de Izipay por ello se debe de hacer una mesa de trabajo con el BB de Cards después que se defina que tarjetas de crédito quiere mostrar en la app. </v>
      </c>
      <c r="I18" t="str">
        <v>Funcional</v>
      </c>
      <c r="J18" t="str">
        <v>Baja</v>
      </c>
      <c r="K18" s="183">
        <v>46113</v>
      </c>
      <c r="L18" s="183">
        <v>46113</v>
      </c>
      <c r="M18" s="188">
        <v>46026</v>
      </c>
      <c r="N18">
        <v>0</v>
      </c>
      <c r="O18" t="str">
        <v>Angela Verde</v>
      </c>
      <c r="P18" t="b">
        <v>1</v>
      </c>
      <c r="Q18" t="str">
        <v>4.Resuelta</v>
      </c>
      <c r="R18" t="str">
        <v>Digital</v>
      </c>
      <c r="S18" t="str">
        <v>Se obtuvo VB con el negocio, Henry envía evidencia</v>
      </c>
      <c r="T18" t="str">
        <v>S</v>
      </c>
    </row>
    <row r="19" spans="1:20">
      <c r="A19">
        <v>1</v>
      </c>
      <c r="B19" t="str">
        <v>Canal Asistidos</v>
      </c>
      <c r="C19" t="str">
        <v>Plan</v>
      </c>
      <c r="D19" t="str">
        <v>P-391</v>
      </c>
      <c r="E19" t="str">
        <v>Reclamos y Dalis</v>
      </c>
      <c r="F19" t="str">
        <v>Seguridad y Redes</v>
      </c>
      <c r="G19" t="str">
        <v>Conectividad</v>
      </c>
      <c r="H19" t="str">
        <v>Habilitar firewalls en la VPN local para ingresar al ambiente preproductivo de Reclamos y DALIs</v>
      </c>
      <c r="I19" t="str">
        <v>Técnica</v>
      </c>
      <c r="J19" t="str">
        <v>Alta</v>
      </c>
      <c r="K19" s="183">
        <v>46111</v>
      </c>
      <c r="L19" s="183">
        <v>0</v>
      </c>
      <c r="M19" s="188">
        <v>46111</v>
      </c>
      <c r="N19">
        <v>0</v>
      </c>
      <c r="O19" t="str">
        <v>Cesar Villanueva</v>
      </c>
      <c r="P19" t="b">
        <v>1</v>
      </c>
      <c r="Q19" t="str">
        <v>4.Resuelta</v>
      </c>
      <c r="R19" t="str">
        <v>Canales Asistidos</v>
      </c>
      <c r="S19">
        <v>0</v>
      </c>
      <c r="T19" t="str">
        <v>S</v>
      </c>
    </row>
    <row r="20" spans="1:20">
      <c r="A20">
        <v>2</v>
      </c>
      <c r="B20" t="str">
        <v>Canal Asistidos</v>
      </c>
      <c r="C20" t="str">
        <v>Plan</v>
      </c>
      <c r="D20" t="str">
        <v>P-360</v>
      </c>
      <c r="E20" t="str">
        <v>SPACE</v>
      </c>
      <c r="F20" t="str">
        <v>Infraestructura</v>
      </c>
      <c r="G20" t="str">
        <v>Control M</v>
      </c>
      <c r="H20" t="str">
        <v>Control M: transferencia de archivos</v>
      </c>
      <c r="I20" t="str">
        <v>Técnica</v>
      </c>
      <c r="J20" t="str">
        <v>Medio</v>
      </c>
      <c r="K20" s="183">
        <v>46127</v>
      </c>
      <c r="L20" s="183">
        <v>0</v>
      </c>
      <c r="M20" s="188">
        <v>0</v>
      </c>
      <c r="N20">
        <v>0</v>
      </c>
      <c r="O20" t="str">
        <v>Sonia B.</v>
      </c>
      <c r="P20" t="b">
        <v>1</v>
      </c>
      <c r="Q20" t="str">
        <v>1.Identificada</v>
      </c>
      <c r="R20" t="str">
        <v>Canales Asistidos</v>
      </c>
      <c r="S20">
        <v>0</v>
      </c>
      <c r="T20" t="str">
        <v>S</v>
      </c>
    </row>
    <row r="21" spans="1:20">
      <c r="A21">
        <v>3</v>
      </c>
      <c r="B21" t="str">
        <v>Canal Asistidos</v>
      </c>
      <c r="C21" t="str">
        <v>Plan</v>
      </c>
      <c r="D21" t="str">
        <v>P-360</v>
      </c>
      <c r="E21" t="str">
        <v>SPACE</v>
      </c>
      <c r="F21" t="str">
        <v>Infraestructura</v>
      </c>
      <c r="G21" t="str">
        <v>Habilitacion de accesos</v>
      </c>
      <c r="H21" t="str">
        <v>Habilitacion de usuarios de desarrollo AWS DATA</v>
      </c>
      <c r="I21" t="str">
        <v>Técnica</v>
      </c>
      <c r="J21" t="str">
        <v>Medio</v>
      </c>
      <c r="K21" s="183">
        <v>46112</v>
      </c>
      <c r="L21" s="183">
        <v>0</v>
      </c>
      <c r="M21" s="188">
        <v>0</v>
      </c>
      <c r="N21">
        <v>0</v>
      </c>
      <c r="O21" t="str">
        <v>Sonia B.</v>
      </c>
      <c r="P21" t="b">
        <v>1</v>
      </c>
      <c r="Q21" t="str">
        <v>1.Identificada</v>
      </c>
      <c r="R21" t="str">
        <v>Canales Asistidos</v>
      </c>
      <c r="S21">
        <v>0</v>
      </c>
      <c r="T21" t="str">
        <v>S</v>
      </c>
    </row>
    <row r="22" spans="1:20">
      <c r="A22">
        <v>4</v>
      </c>
      <c r="B22" t="str">
        <v>Canal Asistidos</v>
      </c>
      <c r="C22" t="str">
        <v>Plan</v>
      </c>
      <c r="D22" t="str">
        <v>P-353</v>
      </c>
      <c r="E22" t="str">
        <v>SPACE</v>
      </c>
      <c r="F22" t="str">
        <v>SPACE</v>
      </c>
      <c r="G22" t="str">
        <v>Integracion Entra ID</v>
      </c>
      <c r="H22" t="str">
        <v>Integracion con Entra ID</v>
      </c>
      <c r="I22" t="str">
        <v>Técnica</v>
      </c>
      <c r="J22" t="str">
        <v>Medio</v>
      </c>
      <c r="K22" s="183">
        <v>46241</v>
      </c>
      <c r="L22" s="183">
        <v>0</v>
      </c>
      <c r="M22" s="188">
        <v>0</v>
      </c>
      <c r="N22">
        <v>0</v>
      </c>
      <c r="O22" t="str">
        <v>Sonia B.</v>
      </c>
      <c r="P22" t="b">
        <v>1</v>
      </c>
      <c r="Q22" t="str">
        <v>1.Identificada</v>
      </c>
      <c r="R22" t="str">
        <v>Canales Asistidos</v>
      </c>
      <c r="S22">
        <v>0</v>
      </c>
      <c r="T22" t="str">
        <v>N</v>
      </c>
    </row>
    <row r="23" spans="1:20">
      <c r="A23">
        <v>5</v>
      </c>
      <c r="B23" t="str">
        <v>Canal Asistidos</v>
      </c>
      <c r="C23" t="str">
        <v>Plan</v>
      </c>
      <c r="D23" t="str">
        <v>P-349</v>
      </c>
      <c r="E23" t="str">
        <v>SPACE</v>
      </c>
      <c r="F23" t="str">
        <v>Bantotal</v>
      </c>
      <c r="G23" t="str">
        <v>Carga inicial</v>
      </c>
      <c r="H23" t="str">
        <v>Carga inicial</v>
      </c>
      <c r="I23" t="str">
        <v>Técnica</v>
      </c>
      <c r="J23" t="str">
        <v>Medio</v>
      </c>
      <c r="K23" s="183">
        <v>46234</v>
      </c>
      <c r="L23" s="183">
        <v>0</v>
      </c>
      <c r="M23" s="188">
        <v>0</v>
      </c>
      <c r="N23">
        <v>0</v>
      </c>
      <c r="O23" t="str">
        <v>Sonia B.</v>
      </c>
      <c r="P23" t="b">
        <v>1</v>
      </c>
      <c r="Q23" t="str">
        <v>1.Identificada</v>
      </c>
      <c r="R23" t="str">
        <v>Canales Asistidos</v>
      </c>
      <c r="S23">
        <v>0</v>
      </c>
      <c r="T23" t="str">
        <v>N</v>
      </c>
    </row>
    <row r="24" spans="1:20">
      <c r="A24">
        <v>6</v>
      </c>
      <c r="B24" t="str">
        <v>Canal Asistidos</v>
      </c>
      <c r="C24" t="str">
        <v>Plan</v>
      </c>
      <c r="D24" t="str">
        <v>P-169</v>
      </c>
      <c r="E24" t="str">
        <v>SPACE</v>
      </c>
      <c r="F24" t="str">
        <v>Cyberfinancial</v>
      </c>
      <c r="G24" t="str">
        <v>Integracion</v>
      </c>
      <c r="H24" t="str">
        <v>Integracion con Entra ID</v>
      </c>
      <c r="I24" t="str">
        <v>Técnica</v>
      </c>
      <c r="J24" t="str">
        <v>Medio</v>
      </c>
      <c r="K24" s="183">
        <v>46136</v>
      </c>
      <c r="L24" s="183">
        <v>0</v>
      </c>
      <c r="M24" s="188">
        <v>0</v>
      </c>
      <c r="N24">
        <v>0</v>
      </c>
      <c r="O24" t="str">
        <v>Sonia B.</v>
      </c>
      <c r="P24" t="b">
        <v>1</v>
      </c>
      <c r="Q24" t="str">
        <v>1.Identificada</v>
      </c>
      <c r="R24" t="str">
        <v>Canales Asistidos</v>
      </c>
      <c r="S24">
        <v>0</v>
      </c>
      <c r="T24" t="str">
        <v>S</v>
      </c>
    </row>
    <row r="25" spans="1:20">
      <c r="A25">
        <v>7</v>
      </c>
      <c r="B25" t="str">
        <v>Canal Asistidos</v>
      </c>
      <c r="C25" t="str">
        <v>Plan</v>
      </c>
      <c r="D25" t="str">
        <v>P-031</v>
      </c>
      <c r="E25" t="str">
        <v>Mesa de Concesiones</v>
      </c>
      <c r="F25" t="str">
        <v>Ciberseguridad</v>
      </c>
      <c r="G25" t="str">
        <v>Habilitación para integración con entraID</v>
      </c>
      <c r="H25" t="str">
        <v>Habilitación para integración con entraID</v>
      </c>
      <c r="I25" t="str">
        <v>Técnica</v>
      </c>
      <c r="J25" t="str">
        <v>Baja</v>
      </c>
      <c r="K25" s="183">
        <v>46188</v>
      </c>
      <c r="L25" s="183">
        <v>0</v>
      </c>
      <c r="M25" s="188" t="str">
        <v>TBD</v>
      </c>
      <c r="N25">
        <v>0</v>
      </c>
      <c r="O25" t="str">
        <v>Cesar Villanueva</v>
      </c>
      <c r="P25" t="b">
        <v>1</v>
      </c>
      <c r="Q25" t="str">
        <v>1.Identificada</v>
      </c>
      <c r="R25" t="str">
        <v>Canales Asistidos</v>
      </c>
      <c r="S25">
        <v>0</v>
      </c>
      <c r="T25" t="str">
        <v>N</v>
      </c>
    </row>
    <row r="26" spans="1:20">
      <c r="A26">
        <v>8</v>
      </c>
      <c r="B26" t="str">
        <v>Canal Asistidos</v>
      </c>
      <c r="C26" t="str">
        <v>Mapa</v>
      </c>
      <c r="D26" t="str">
        <v>MF-06210</v>
      </c>
      <c r="E26" t="str">
        <v>Cyberfinancial</v>
      </c>
      <c r="F26" t="str">
        <v>Data</v>
      </c>
      <c r="G26" t="str">
        <v>Migracion</v>
      </c>
      <c r="H26" t="str">
        <v>Migracion de audios cobranza</v>
      </c>
      <c r="I26" t="str">
        <v>Técnica</v>
      </c>
      <c r="J26" t="str">
        <v>Alta</v>
      </c>
      <c r="K26" s="183">
        <v>46185</v>
      </c>
      <c r="L26" s="183">
        <v>0</v>
      </c>
      <c r="M26" s="188" t="str">
        <v>TBD</v>
      </c>
      <c r="N26">
        <v>0</v>
      </c>
      <c r="O26" t="str">
        <v>Sonia B.</v>
      </c>
      <c r="P26" t="b">
        <v>1</v>
      </c>
      <c r="Q26" t="str">
        <v>2.Solicitada</v>
      </c>
      <c r="R26" t="str">
        <v>Canales Asistidos</v>
      </c>
      <c r="S26">
        <v>0</v>
      </c>
      <c r="T26" t="str">
        <v>N</v>
      </c>
    </row>
    <row r="27" spans="1:20">
      <c r="A27">
        <v>9</v>
      </c>
      <c r="B27" t="str">
        <v>Canal Asistidos</v>
      </c>
      <c r="C27" t="str">
        <v>Mapa</v>
      </c>
      <c r="D27" t="str">
        <v>MF-05967</v>
      </c>
      <c r="E27" t="str">
        <v>Reclamos y Dalis</v>
      </c>
      <c r="F27" t="str">
        <v>Data</v>
      </c>
      <c r="G27" t="str">
        <v>Migracion</v>
      </c>
      <c r="H27" t="str">
        <v>Migracion historica de reclamos y carga de audios.</v>
      </c>
      <c r="I27" t="str">
        <v>Funcional</v>
      </c>
      <c r="J27" t="str">
        <v>Medio</v>
      </c>
      <c r="K27" s="183">
        <v>46199</v>
      </c>
      <c r="L27" s="183">
        <v>0</v>
      </c>
      <c r="M27" s="188">
        <v>0</v>
      </c>
      <c r="N27">
        <v>0</v>
      </c>
      <c r="O27" t="str">
        <v>Jean Paul</v>
      </c>
      <c r="P27" t="b">
        <v>1</v>
      </c>
      <c r="Q27" t="str">
        <v>1.Identificada</v>
      </c>
      <c r="R27" t="str">
        <v>Canales Asistidos</v>
      </c>
      <c r="S27">
        <v>0</v>
      </c>
      <c r="T27" t="str">
        <v>N</v>
      </c>
    </row>
    <row r="28" spans="1:20">
      <c r="A28">
        <v>10</v>
      </c>
      <c r="B28" t="str">
        <v>Canal Asistidos</v>
      </c>
      <c r="C28" t="str">
        <v>Mapa</v>
      </c>
      <c r="D28" t="str">
        <v>MF-05940</v>
      </c>
      <c r="E28" t="str">
        <v>Mesa de Concesiones</v>
      </c>
      <c r="F28" t="str">
        <v>Negocio</v>
      </c>
      <c r="G28" t="str">
        <v>Definición de modificaciones de documentos</v>
      </c>
      <c r="H28" t="str">
        <v>Definir las modificaciones de documentos y registro de trazabilidad</v>
      </c>
      <c r="I28" t="str">
        <v>Funcional</v>
      </c>
      <c r="J28" t="str">
        <v>Baja</v>
      </c>
      <c r="K28" s="183">
        <v>46129</v>
      </c>
      <c r="L28" s="183">
        <v>0</v>
      </c>
      <c r="M28" s="188" t="str">
        <v>TBD</v>
      </c>
      <c r="N28">
        <v>0</v>
      </c>
      <c r="O28" t="str">
        <v>Jorge Urrutia</v>
      </c>
      <c r="P28" t="b">
        <v>1</v>
      </c>
      <c r="Q28" t="str">
        <v>1.Identificada</v>
      </c>
      <c r="R28" t="str">
        <v>Canales Asistidos</v>
      </c>
      <c r="S28">
        <v>0</v>
      </c>
      <c r="T28" t="str">
        <v>S</v>
      </c>
    </row>
    <row r="29" spans="1:20">
      <c r="A29">
        <v>11</v>
      </c>
      <c r="B29" t="str">
        <v>Canal Asistidos</v>
      </c>
      <c r="C29" t="str">
        <v>Mapa</v>
      </c>
      <c r="D29" t="str">
        <v>MF-05890</v>
      </c>
      <c r="E29" t="str">
        <v>Mesa de Concesiones</v>
      </c>
      <c r="F29" t="str">
        <v>Negocio</v>
      </c>
      <c r="G29" t="str">
        <v>Definición de notificaciones</v>
      </c>
      <c r="H29" t="str">
        <v>Definición de notificaciones dentro de la Gestión de rechazo de la solicitud</v>
      </c>
      <c r="I29" t="str">
        <v>Funcional</v>
      </c>
      <c r="J29" t="str">
        <v>Baja</v>
      </c>
      <c r="K29" s="183">
        <v>46188</v>
      </c>
      <c r="L29" s="183">
        <v>0</v>
      </c>
      <c r="M29" s="188" t="str">
        <v>TBD</v>
      </c>
      <c r="N29">
        <v>0</v>
      </c>
      <c r="O29" t="str">
        <v>Jorge Urrutia</v>
      </c>
      <c r="P29" t="b">
        <v>1</v>
      </c>
      <c r="Q29" t="str">
        <v>1.Identificada</v>
      </c>
      <c r="R29" t="str">
        <v>Canales Asistidos</v>
      </c>
      <c r="S29">
        <v>0</v>
      </c>
      <c r="T29" t="str">
        <v>N</v>
      </c>
    </row>
    <row r="30" spans="1:20">
      <c r="A30">
        <v>12</v>
      </c>
      <c r="B30" t="str">
        <v>Canal Asistidos</v>
      </c>
      <c r="C30" t="str">
        <v>Mapa</v>
      </c>
      <c r="D30" t="str">
        <v>MF-05880</v>
      </c>
      <c r="E30" t="str">
        <v>Mesa de Concesiones</v>
      </c>
      <c r="F30" t="str">
        <v>Negocio</v>
      </c>
      <c r="G30" t="str">
        <v>Definición de checklist de documentos por rechazo</v>
      </c>
      <c r="H30" t="str">
        <v>Definición de estructura de documentos para los sustentos por observación</v>
      </c>
      <c r="I30" t="str">
        <v>Funcional</v>
      </c>
      <c r="J30" t="str">
        <v>Medio</v>
      </c>
      <c r="K30" s="183">
        <v>46188</v>
      </c>
      <c r="L30" s="183">
        <v>0</v>
      </c>
      <c r="M30" s="188" t="str">
        <v>TBD</v>
      </c>
      <c r="N30">
        <v>0</v>
      </c>
      <c r="O30" t="str">
        <v>Jorge Urrutia</v>
      </c>
      <c r="P30" t="b">
        <v>1</v>
      </c>
      <c r="Q30" t="str">
        <v>1.Identificada</v>
      </c>
      <c r="R30" t="str">
        <v>Canales Asistidos</v>
      </c>
      <c r="S30">
        <v>0</v>
      </c>
      <c r="T30" t="str">
        <v>N</v>
      </c>
    </row>
    <row r="31" spans="1:20">
      <c r="A31">
        <v>13</v>
      </c>
      <c r="B31" t="str">
        <v>Canal Asistidos</v>
      </c>
      <c r="C31" t="str">
        <v>Mapa</v>
      </c>
      <c r="D31" t="str">
        <v>MF-05870</v>
      </c>
      <c r="E31" t="str">
        <v>Mesa de Concesiones</v>
      </c>
      <c r="F31" t="str">
        <v>Aplicaciones de Soporte</v>
      </c>
      <c r="G31" t="str">
        <v>Apis</v>
      </c>
      <c r="H31" t="str">
        <v>Desarrollo de 8 APIs para obtener resultados de evaluación, gestor documental y notificaciones</v>
      </c>
      <c r="I31" t="str">
        <v>Técnica</v>
      </c>
      <c r="J31" t="str">
        <v>Alta</v>
      </c>
      <c r="K31" s="183">
        <v>46188</v>
      </c>
      <c r="L31" s="183">
        <v>0</v>
      </c>
      <c r="M31" s="188" t="str">
        <v>TBD</v>
      </c>
      <c r="N31">
        <v>0</v>
      </c>
      <c r="O31" t="str">
        <v>Jaime H.</v>
      </c>
      <c r="P31" t="b">
        <v>1</v>
      </c>
      <c r="Q31" t="str">
        <v>2.Solicitada</v>
      </c>
      <c r="R31" t="str">
        <v>Canales Asistidos</v>
      </c>
      <c r="S31">
        <v>0</v>
      </c>
      <c r="T31" t="str">
        <v>N</v>
      </c>
    </row>
    <row r="32" spans="1:20">
      <c r="A32">
        <v>14</v>
      </c>
      <c r="B32" t="str">
        <v>Canal Asistidos</v>
      </c>
      <c r="C32" t="str">
        <v>Mapa</v>
      </c>
      <c r="D32" t="str">
        <v>MF-05860</v>
      </c>
      <c r="E32" t="str">
        <v>Mesa de Concesiones</v>
      </c>
      <c r="F32" t="str">
        <v>Negocio</v>
      </c>
      <c r="G32" t="str">
        <v>Definición de funcionalidades para la Bandeja de Supervisor</v>
      </c>
      <c r="H32" t="str">
        <v>Definición de KPIs, dashboard y vistas clave para el supervisor</v>
      </c>
      <c r="I32" t="str">
        <v>Funcional</v>
      </c>
      <c r="J32" t="str">
        <v>Medio</v>
      </c>
      <c r="K32" s="183">
        <v>46129</v>
      </c>
      <c r="L32" s="183">
        <v>0</v>
      </c>
      <c r="M32" s="188" t="str">
        <v>TBD</v>
      </c>
      <c r="N32">
        <v>0</v>
      </c>
      <c r="O32" t="str">
        <v>Jorge Urrutia</v>
      </c>
      <c r="P32" t="b">
        <v>1</v>
      </c>
      <c r="Q32" t="str">
        <v>1.Identificada</v>
      </c>
      <c r="R32" t="str">
        <v>Canales Asistidos</v>
      </c>
      <c r="S32">
        <v>0</v>
      </c>
      <c r="T32" t="str">
        <v>S</v>
      </c>
    </row>
    <row r="33" spans="1:20">
      <c r="A33">
        <v>15</v>
      </c>
      <c r="B33" t="str">
        <v>Canal Asistidos</v>
      </c>
      <c r="C33" t="str">
        <v>Mapa</v>
      </c>
      <c r="D33" t="str">
        <v>MF-05850</v>
      </c>
      <c r="E33" t="str">
        <v>Mesa de Concesiones</v>
      </c>
      <c r="F33" t="str">
        <v>Negocio</v>
      </c>
      <c r="G33" t="str">
        <v>Definición de diseño de mesa de autonomía</v>
      </c>
      <c r="H33" t="str">
        <v>Definición de atención de Mesa de Autonomías</v>
      </c>
      <c r="I33" t="str">
        <v>Funcional</v>
      </c>
      <c r="J33" t="str">
        <v>Medio</v>
      </c>
      <c r="K33" s="183">
        <v>46104</v>
      </c>
      <c r="L33" s="183">
        <v>0</v>
      </c>
      <c r="M33" s="188">
        <v>46104</v>
      </c>
      <c r="N33">
        <v>0</v>
      </c>
      <c r="O33" t="str">
        <v>Jorge Urrutia</v>
      </c>
      <c r="P33" t="b">
        <v>1</v>
      </c>
      <c r="Q33" t="str">
        <v>4.Resuelta</v>
      </c>
      <c r="R33" t="str">
        <v>Canales Asistidos</v>
      </c>
      <c r="S33">
        <v>0</v>
      </c>
      <c r="T33" t="str">
        <v>S</v>
      </c>
    </row>
    <row r="34" spans="1:20">
      <c r="A34">
        <v>16</v>
      </c>
      <c r="B34" t="str">
        <v>Canal Asistidos</v>
      </c>
      <c r="C34" t="str">
        <v>Mapa</v>
      </c>
      <c r="D34" t="str">
        <v>MF-05850</v>
      </c>
      <c r="E34" t="str">
        <v>Mesa de Concesiones</v>
      </c>
      <c r="F34" t="str">
        <v>Negocio</v>
      </c>
      <c r="G34" t="str">
        <v>Definición administrador de autonomías</v>
      </c>
      <c r="H34" t="str">
        <v>Definición de módulo de administración de Autonomías</v>
      </c>
      <c r="I34" t="str">
        <v>Funcional</v>
      </c>
      <c r="J34" t="str">
        <v>Medio</v>
      </c>
      <c r="K34" s="183">
        <v>46108</v>
      </c>
      <c r="L34" s="183">
        <v>46122</v>
      </c>
      <c r="M34" s="188" t="str">
        <v>TBD</v>
      </c>
      <c r="N34">
        <v>0</v>
      </c>
      <c r="O34" t="str">
        <v>Jorge Urrutia</v>
      </c>
      <c r="P34" t="b">
        <v>1</v>
      </c>
      <c r="Q34" t="str">
        <v>4.Resuelta</v>
      </c>
      <c r="R34" t="str">
        <v>Canales Asistidos</v>
      </c>
      <c r="S34" t="str">
        <v>Riesgos compartió las funcionalidades que actualmente manejan</v>
      </c>
      <c r="T34" t="str">
        <v>S</v>
      </c>
    </row>
    <row r="35" spans="1:20">
      <c r="A35">
        <v>17</v>
      </c>
      <c r="B35" t="str">
        <v>Canal Asistidos</v>
      </c>
      <c r="C35" t="str">
        <v>Mapa</v>
      </c>
      <c r="D35" t="str">
        <v>MF-05840</v>
      </c>
      <c r="E35" t="str">
        <v>Mesa de Concesiones</v>
      </c>
      <c r="F35" t="str">
        <v>Negocio</v>
      </c>
      <c r="G35" t="str">
        <v>Definición modelo de atención</v>
      </c>
      <c r="H35" t="str">
        <v>Definición de modelo de atención en Bandeja de Mesa de Concesiones (Asignación manual / automática)</v>
      </c>
      <c r="I35" t="str">
        <v>Funcional</v>
      </c>
      <c r="J35" t="str">
        <v>Alta</v>
      </c>
      <c r="K35" s="183">
        <v>46108</v>
      </c>
      <c r="L35" s="183">
        <v>46122</v>
      </c>
      <c r="M35" s="188" t="str">
        <v>17/04/2026</v>
      </c>
      <c r="N35">
        <v>0</v>
      </c>
      <c r="O35" t="str">
        <v>Jorge Urrutia</v>
      </c>
      <c r="P35" t="b">
        <v>1</v>
      </c>
      <c r="Q35" t="str">
        <v>3.En progreso</v>
      </c>
      <c r="R35" t="str">
        <v>Canales Asistidos</v>
      </c>
      <c r="S35">
        <v>0</v>
      </c>
      <c r="T35" t="str">
        <v>S</v>
      </c>
    </row>
    <row r="36" spans="1:20">
      <c r="A36">
        <v>18</v>
      </c>
      <c r="B36" t="str">
        <v>Canal Asistidos</v>
      </c>
      <c r="C36" t="str">
        <v>Mapa</v>
      </c>
      <c r="D36" t="str">
        <v>MF-05840</v>
      </c>
      <c r="E36" t="str">
        <v>Mesa de Concesiones</v>
      </c>
      <c r="F36" t="str">
        <v>Negocio</v>
      </c>
      <c r="G36" t="str">
        <v>Definición de SLAs</v>
      </c>
      <c r="H36" t="str">
        <v>Definición de SLAs de atención y planes de acción</v>
      </c>
      <c r="I36" t="str">
        <v>Funcional</v>
      </c>
      <c r="J36" t="str">
        <v>Alta</v>
      </c>
      <c r="K36" s="183">
        <v>46108</v>
      </c>
      <c r="L36" s="183">
        <v>46122</v>
      </c>
      <c r="M36" s="188" t="str">
        <v>17/04/2026</v>
      </c>
      <c r="N36">
        <v>0</v>
      </c>
      <c r="O36" t="str">
        <v>Jorge Urrutia</v>
      </c>
      <c r="P36" t="b">
        <v>1</v>
      </c>
      <c r="Q36" t="str">
        <v>2.Solicitada</v>
      </c>
      <c r="R36" t="str">
        <v>Canales Asistidos</v>
      </c>
      <c r="S36">
        <v>0</v>
      </c>
      <c r="T36" t="str">
        <v>S</v>
      </c>
    </row>
    <row r="37" spans="1:20">
      <c r="A37">
        <v>19</v>
      </c>
      <c r="B37" t="str">
        <v>Canal Asistidos</v>
      </c>
      <c r="C37" t="str">
        <v>Mapa</v>
      </c>
      <c r="D37" t="str">
        <v>MF-05830</v>
      </c>
      <c r="E37" t="str">
        <v>Mesa de Concesiones</v>
      </c>
      <c r="F37" t="str">
        <v>Bantotal</v>
      </c>
      <c r="G37" t="str">
        <v xml:space="preserve"> </v>
      </c>
      <c r="H37" t="str">
        <v>Integración con BT para enviar solicitudes evaluadas a Mesa de Concesiones</v>
      </c>
      <c r="I37" t="str">
        <v>Técnica</v>
      </c>
      <c r="J37" t="str">
        <v>Alta</v>
      </c>
      <c r="K37" s="183">
        <v>46188</v>
      </c>
      <c r="L37" s="183">
        <v>0</v>
      </c>
      <c r="M37" s="188" t="str">
        <v>TBD</v>
      </c>
      <c r="N37">
        <v>0</v>
      </c>
      <c r="O37" t="str">
        <v>Julio Palomino</v>
      </c>
      <c r="P37" t="b">
        <v>1</v>
      </c>
      <c r="Q37" t="str">
        <v>1.Identificada</v>
      </c>
      <c r="R37" t="str">
        <v>Canales Asistidos</v>
      </c>
      <c r="S37">
        <v>0</v>
      </c>
      <c r="T37" t="str">
        <v>N</v>
      </c>
    </row>
    <row r="38" spans="1:20">
      <c r="A38">
        <v>20</v>
      </c>
      <c r="B38" t="str">
        <v>Canal Asistidos</v>
      </c>
      <c r="C38" t="str">
        <v>Mapa</v>
      </c>
      <c r="D38" t="str">
        <v>MF-05830</v>
      </c>
      <c r="E38" t="str">
        <v>Mesa de Concesiones</v>
      </c>
      <c r="F38" t="str">
        <v>Ciberseguridad</v>
      </c>
      <c r="G38" t="str">
        <v>Integración con SPACE</v>
      </c>
      <c r="H38" t="str">
        <v>Integración con SPACE para embeber Mesa de Concesiones</v>
      </c>
      <c r="I38" t="str">
        <v>Técnica</v>
      </c>
      <c r="J38" t="str">
        <v>Baja</v>
      </c>
      <c r="K38" s="183">
        <v>46220</v>
      </c>
      <c r="L38" s="183">
        <v>0</v>
      </c>
      <c r="M38" s="188" t="str">
        <v>TBD</v>
      </c>
      <c r="N38">
        <v>0</v>
      </c>
      <c r="O38" t="str">
        <v>Jorge Urrutia</v>
      </c>
      <c r="P38" t="b">
        <v>1</v>
      </c>
      <c r="Q38" t="str">
        <v>1.Identificada</v>
      </c>
      <c r="R38" t="str">
        <v>Canales Asistidos</v>
      </c>
      <c r="S38">
        <v>0</v>
      </c>
      <c r="T38" t="str">
        <v>N</v>
      </c>
    </row>
    <row r="39" spans="1:20">
      <c r="A39">
        <v>21</v>
      </c>
      <c r="B39" t="str">
        <v>Canal Asistidos</v>
      </c>
      <c r="C39" t="str">
        <v>Mapa</v>
      </c>
      <c r="D39" t="str">
        <v>MF-05800</v>
      </c>
      <c r="E39" t="str">
        <v>Mesa de Concesiones</v>
      </c>
      <c r="F39" t="str">
        <v>Negocio</v>
      </c>
      <c r="G39" t="str">
        <v>Definición de roles</v>
      </c>
      <c r="H39" t="str">
        <v>Definición de roles que tendrán acceso a Mesa de Concesiones</v>
      </c>
      <c r="I39" t="str">
        <v>Funcional</v>
      </c>
      <c r="J39" t="str">
        <v>Medio</v>
      </c>
      <c r="K39" s="183">
        <v>46122</v>
      </c>
      <c r="L39" s="183">
        <v>0</v>
      </c>
      <c r="M39" s="188" t="str">
        <v>TBD</v>
      </c>
      <c r="N39">
        <v>0</v>
      </c>
      <c r="O39" t="str">
        <v>Jorge Urrutia</v>
      </c>
      <c r="P39" t="b">
        <v>1</v>
      </c>
      <c r="Q39" t="str">
        <v>1.Identificada</v>
      </c>
      <c r="R39" t="str">
        <v>Canales Asistidos</v>
      </c>
      <c r="S39">
        <v>0</v>
      </c>
      <c r="T39" t="str">
        <v>S</v>
      </c>
    </row>
    <row r="40" spans="1:20">
      <c r="A40">
        <v>22</v>
      </c>
      <c r="B40" t="str">
        <v>Canal Asistidos</v>
      </c>
      <c r="C40" t="str">
        <v>Mapa</v>
      </c>
      <c r="D40" t="str">
        <v>MF-05790</v>
      </c>
      <c r="E40" t="str">
        <v>SPACE</v>
      </c>
      <c r="F40" t="str">
        <v>Data</v>
      </c>
      <c r="G40" t="str">
        <v>Fuente de origen de campañas</v>
      </c>
      <c r="H40" t="str">
        <v>Proceso de exportación de campañas</v>
      </c>
      <c r="I40" t="str">
        <v>Funcional</v>
      </c>
      <c r="J40" t="str">
        <v>Medio</v>
      </c>
      <c r="K40" s="183">
        <v>46136</v>
      </c>
      <c r="L40" s="183">
        <v>0</v>
      </c>
      <c r="M40" s="188">
        <v>0</v>
      </c>
      <c r="N40">
        <v>0</v>
      </c>
      <c r="O40" t="str">
        <v>Sonia B.</v>
      </c>
      <c r="P40" t="b">
        <v>1</v>
      </c>
      <c r="Q40" t="str">
        <v>1.Identificada</v>
      </c>
      <c r="R40" t="str">
        <v>Canales Asistidos</v>
      </c>
      <c r="S40">
        <v>0</v>
      </c>
      <c r="T40" t="str">
        <v>S</v>
      </c>
    </row>
    <row r="41" spans="1:20">
      <c r="A41">
        <v>23</v>
      </c>
      <c r="B41" t="str">
        <v>Canal Asistidos</v>
      </c>
      <c r="C41" t="str">
        <v>Mapa</v>
      </c>
      <c r="D41" t="str">
        <v>MF-05790</v>
      </c>
      <c r="E41" t="str">
        <v>SPACE</v>
      </c>
      <c r="F41" t="str">
        <v>Bantotal</v>
      </c>
      <c r="G41" t="str">
        <v>Fuente de origen de campañas</v>
      </c>
      <c r="H41" t="str">
        <v>Proceso de exportación de campañas</v>
      </c>
      <c r="I41" t="str">
        <v>Funcional</v>
      </c>
      <c r="J41" t="str">
        <v>Medio</v>
      </c>
      <c r="K41" s="183">
        <v>46136</v>
      </c>
      <c r="L41" s="183">
        <v>0</v>
      </c>
      <c r="M41" s="188">
        <v>0</v>
      </c>
      <c r="N41">
        <v>0</v>
      </c>
      <c r="O41" t="str">
        <v>Sonia B.</v>
      </c>
      <c r="P41" t="b">
        <v>1</v>
      </c>
      <c r="Q41" t="str">
        <v>1.Identificada</v>
      </c>
      <c r="R41" t="str">
        <v>Canales Asistidos</v>
      </c>
      <c r="S41">
        <v>0</v>
      </c>
      <c r="T41" t="str">
        <v>S</v>
      </c>
    </row>
    <row r="42" spans="1:20">
      <c r="A42">
        <v>24</v>
      </c>
      <c r="B42" t="str">
        <v>Canal Asistidos</v>
      </c>
      <c r="C42" t="str">
        <v>Mapa</v>
      </c>
      <c r="D42" t="str">
        <v>MF-05770</v>
      </c>
      <c r="E42" t="str">
        <v>SPACE</v>
      </c>
      <c r="F42" t="str">
        <v>Bantotal</v>
      </c>
      <c r="G42" t="str">
        <v>Fuente de origen de clientes desde BT</v>
      </c>
      <c r="H42" t="str">
        <v>Proceso de exportación de clientes desde BT</v>
      </c>
      <c r="I42" t="str">
        <v>Funcional</v>
      </c>
      <c r="J42" t="str">
        <v>Medio</v>
      </c>
      <c r="K42" s="183">
        <v>46136</v>
      </c>
      <c r="L42" s="183">
        <v>0</v>
      </c>
      <c r="M42" s="188">
        <v>0</v>
      </c>
      <c r="N42">
        <v>0</v>
      </c>
      <c r="O42" t="str">
        <v>Sonia B.</v>
      </c>
      <c r="P42" t="b">
        <v>1</v>
      </c>
      <c r="Q42" t="str">
        <v>1.Identificada</v>
      </c>
      <c r="R42" t="str">
        <v>Canales Asistidos</v>
      </c>
      <c r="S42">
        <v>0</v>
      </c>
      <c r="T42" t="str">
        <v>S</v>
      </c>
    </row>
    <row r="43" spans="1:20">
      <c r="A43">
        <v>25</v>
      </c>
      <c r="B43" t="str">
        <v>Canal Asistidos</v>
      </c>
      <c r="C43" t="str">
        <v>Mapa</v>
      </c>
      <c r="D43" t="str">
        <v>MF-05760</v>
      </c>
      <c r="E43" t="str">
        <v>SPACE</v>
      </c>
      <c r="F43" t="str">
        <v>Bantotal</v>
      </c>
      <c r="G43" t="str">
        <v>Definición de carga de datos</v>
      </c>
      <c r="H43" t="str">
        <v xml:space="preserve">Definir fuente origen para carga de campañas </v>
      </c>
      <c r="I43" t="str">
        <v>Técnica</v>
      </c>
      <c r="J43" t="str">
        <v>Medio</v>
      </c>
      <c r="K43" s="183">
        <v>46112</v>
      </c>
      <c r="L43" s="183">
        <v>46207</v>
      </c>
      <c r="M43" s="188">
        <v>0</v>
      </c>
      <c r="N43">
        <v>0</v>
      </c>
      <c r="O43" t="str">
        <v>Sonia B.</v>
      </c>
      <c r="P43" t="b">
        <v>1</v>
      </c>
      <c r="Q43" t="str">
        <v>4.Resuelta</v>
      </c>
      <c r="R43" t="str">
        <v>Canales Asistidos</v>
      </c>
      <c r="S43">
        <v>0</v>
      </c>
      <c r="T43" t="str">
        <v>S</v>
      </c>
    </row>
    <row r="44" spans="1:20">
      <c r="A44">
        <v>26</v>
      </c>
      <c r="B44" t="str">
        <v>Canal Asistidos</v>
      </c>
      <c r="C44" t="str">
        <v>Mapa</v>
      </c>
      <c r="D44" t="str">
        <v>MF-05760</v>
      </c>
      <c r="E44" t="str">
        <v>SPACE</v>
      </c>
      <c r="F44" t="str">
        <v>Bantotal</v>
      </c>
      <c r="G44" t="str">
        <v>Confirmacion de información</v>
      </c>
      <c r="H44" t="str">
        <v xml:space="preserve">Confirmar donde residirán los No clientes (Personas que NO son clientes del Banco) </v>
      </c>
      <c r="I44" t="str">
        <v>Técnica</v>
      </c>
      <c r="J44" t="str">
        <v>Medio</v>
      </c>
      <c r="K44" s="183">
        <v>46108</v>
      </c>
      <c r="L44" s="183">
        <v>0</v>
      </c>
      <c r="M44" s="188">
        <v>0</v>
      </c>
      <c r="N44">
        <v>0</v>
      </c>
      <c r="O44" t="str">
        <v>Sonia B.</v>
      </c>
      <c r="P44" t="b">
        <v>1</v>
      </c>
      <c r="Q44" t="str">
        <v>4.Resuelta</v>
      </c>
      <c r="R44" t="str">
        <v>Canales Asistidos</v>
      </c>
      <c r="S44">
        <v>0</v>
      </c>
      <c r="T44" t="str">
        <v>S</v>
      </c>
    </row>
    <row r="45" spans="1:20">
      <c r="A45">
        <v>27</v>
      </c>
      <c r="B45" t="str">
        <v>Canal Asistidos</v>
      </c>
      <c r="C45" t="str">
        <v>Mapa</v>
      </c>
      <c r="D45" t="str">
        <v>MF-05760</v>
      </c>
      <c r="E45" t="str">
        <v>SPACE</v>
      </c>
      <c r="F45" t="str">
        <v>Bantotal</v>
      </c>
      <c r="G45" t="str">
        <v>Configuracion de estructura comercial</v>
      </c>
      <c r="H45" t="str">
        <v xml:space="preserve">Estructura Comercial de Agencias y CC </v>
      </c>
      <c r="I45" t="str">
        <v>Técnica</v>
      </c>
      <c r="J45" t="str">
        <v>Medio</v>
      </c>
      <c r="K45" s="183">
        <v>46122</v>
      </c>
      <c r="L45" s="183">
        <v>0</v>
      </c>
      <c r="M45" s="188">
        <v>0</v>
      </c>
      <c r="N45">
        <v>0</v>
      </c>
      <c r="O45" t="str">
        <v>Sonia B.</v>
      </c>
      <c r="P45" t="b">
        <v>1</v>
      </c>
      <c r="Q45" t="str">
        <v>1.Identificada</v>
      </c>
      <c r="R45" t="str">
        <v>Canales Asistidos</v>
      </c>
      <c r="S45">
        <v>0</v>
      </c>
      <c r="T45" t="str">
        <v>S</v>
      </c>
    </row>
    <row r="46" spans="1:20">
      <c r="A46">
        <v>28</v>
      </c>
      <c r="B46" t="str">
        <v>Canal Asistidos</v>
      </c>
      <c r="C46" t="str">
        <v>Mapa</v>
      </c>
      <c r="D46" t="str">
        <v>MF-05750</v>
      </c>
      <c r="E46" t="str">
        <v>SPACE</v>
      </c>
      <c r="F46" t="str">
        <v>Bantotal</v>
      </c>
      <c r="G46" t="str">
        <v>Fuente de origen de campañas</v>
      </c>
      <c r="H46" t="str">
        <v>Proceso de exportación de campañas</v>
      </c>
      <c r="I46" t="str">
        <v>Funcional</v>
      </c>
      <c r="J46" t="str">
        <v>Medio</v>
      </c>
      <c r="K46" s="183">
        <v>46136</v>
      </c>
      <c r="L46" s="183">
        <v>0</v>
      </c>
      <c r="M46" s="188">
        <v>0</v>
      </c>
      <c r="N46">
        <v>0</v>
      </c>
      <c r="O46" t="str">
        <v>Sonia B.</v>
      </c>
      <c r="P46" t="b">
        <v>1</v>
      </c>
      <c r="Q46" t="str">
        <v>1.Identificada</v>
      </c>
      <c r="R46" t="str">
        <v>Canales Asistidos</v>
      </c>
      <c r="S46">
        <v>0</v>
      </c>
      <c r="T46" t="str">
        <v>S</v>
      </c>
    </row>
    <row r="47" spans="1:20">
      <c r="A47">
        <v>29</v>
      </c>
      <c r="B47" t="str">
        <v>Canal Asistidos</v>
      </c>
      <c r="C47" t="str">
        <v>Mapa</v>
      </c>
      <c r="D47" t="str">
        <v>MF-05750</v>
      </c>
      <c r="E47" t="str">
        <v>SPACE</v>
      </c>
      <c r="F47" t="str">
        <v>Data</v>
      </c>
      <c r="G47" t="str">
        <v>Fuente de origen de campañas</v>
      </c>
      <c r="H47" t="str">
        <v>Proceso de exportación de campañas</v>
      </c>
      <c r="I47" t="str">
        <v>Funcional</v>
      </c>
      <c r="J47" t="str">
        <v>Medio</v>
      </c>
      <c r="K47" s="183">
        <v>46136</v>
      </c>
      <c r="L47" s="183">
        <v>0</v>
      </c>
      <c r="M47" s="188">
        <v>0</v>
      </c>
      <c r="N47">
        <v>0</v>
      </c>
      <c r="O47" t="str">
        <v>Sonia B.</v>
      </c>
      <c r="P47" t="b">
        <v>1</v>
      </c>
      <c r="Q47" t="str">
        <v>1.Identificada</v>
      </c>
      <c r="R47" t="str">
        <v>Canales Asistidos</v>
      </c>
      <c r="S47">
        <v>0</v>
      </c>
      <c r="T47" t="str">
        <v>S</v>
      </c>
    </row>
    <row r="48" spans="1:20">
      <c r="A48">
        <v>30</v>
      </c>
      <c r="B48" t="str">
        <v>Canal Asistidos</v>
      </c>
      <c r="C48" t="str">
        <v>Mapa</v>
      </c>
      <c r="D48" t="str">
        <v>MF-05740</v>
      </c>
      <c r="E48" t="str">
        <v>SPACE</v>
      </c>
      <c r="F48" t="str">
        <v>Data</v>
      </c>
      <c r="G48" t="str">
        <v>Fuente de origen de prospectos</v>
      </c>
      <c r="H48" t="str">
        <v>Proceso de exportación de prospectos</v>
      </c>
      <c r="I48" t="str">
        <v>Funcional</v>
      </c>
      <c r="J48" t="str">
        <v>Medio</v>
      </c>
      <c r="K48" s="183">
        <v>46136</v>
      </c>
      <c r="L48" s="183">
        <v>0</v>
      </c>
      <c r="M48" s="188">
        <v>0</v>
      </c>
      <c r="N48">
        <v>0</v>
      </c>
      <c r="O48" t="str">
        <v>Sonia B.</v>
      </c>
      <c r="P48" t="b">
        <v>1</v>
      </c>
      <c r="Q48" t="str">
        <v>1.Identificada</v>
      </c>
      <c r="R48" t="str">
        <v>Canales Asistidos</v>
      </c>
      <c r="S48">
        <v>0</v>
      </c>
      <c r="T48" t="str">
        <v>S</v>
      </c>
    </row>
    <row r="49" spans="1:20">
      <c r="A49">
        <v>31</v>
      </c>
      <c r="B49" t="str">
        <v>Canal Asistidos</v>
      </c>
      <c r="C49" t="str">
        <v>Mapa</v>
      </c>
      <c r="D49" t="str">
        <v>MF-05730</v>
      </c>
      <c r="E49" t="str">
        <v>SPACE</v>
      </c>
      <c r="F49" t="str">
        <v>Bantotal</v>
      </c>
      <c r="G49" t="str">
        <v>Fuente de origen de clientes desde BT</v>
      </c>
      <c r="H49" t="str">
        <v>Proceso de exportación de clientes desde BT</v>
      </c>
      <c r="I49" t="str">
        <v>Funcional</v>
      </c>
      <c r="J49" t="str">
        <v>Medio</v>
      </c>
      <c r="K49" s="183">
        <v>46136</v>
      </c>
      <c r="L49" s="183">
        <v>0</v>
      </c>
      <c r="M49" s="188">
        <v>0</v>
      </c>
      <c r="N49">
        <v>0</v>
      </c>
      <c r="O49" t="str">
        <v>Sonia B.</v>
      </c>
      <c r="P49" t="b">
        <v>1</v>
      </c>
      <c r="Q49" t="str">
        <v>1.Identificada</v>
      </c>
      <c r="R49" t="str">
        <v>Canales Asistidos</v>
      </c>
      <c r="S49">
        <v>0</v>
      </c>
      <c r="T49" t="str">
        <v>S</v>
      </c>
    </row>
    <row r="50" spans="1:20">
      <c r="A50">
        <v>32</v>
      </c>
      <c r="B50" t="str">
        <v>Canal Asistidos</v>
      </c>
      <c r="C50" t="str">
        <v>Mapa</v>
      </c>
      <c r="D50" t="str">
        <v>MF-05720</v>
      </c>
      <c r="E50" t="str">
        <v>SPACE</v>
      </c>
      <c r="F50" t="str">
        <v>Bantotal</v>
      </c>
      <c r="G50" t="str">
        <v>Definición de carga de datos</v>
      </c>
      <c r="H50" t="str">
        <v xml:space="preserve">Definir fuente origen para carga de campañas </v>
      </c>
      <c r="I50" t="str">
        <v>Técnica</v>
      </c>
      <c r="J50" t="str">
        <v>Medio</v>
      </c>
      <c r="K50" s="183">
        <v>46112</v>
      </c>
      <c r="L50" s="183">
        <v>46207</v>
      </c>
      <c r="M50" s="188">
        <v>0</v>
      </c>
      <c r="N50">
        <v>0</v>
      </c>
      <c r="O50" t="str">
        <v>Sonia B.</v>
      </c>
      <c r="P50" t="b">
        <v>1</v>
      </c>
      <c r="Q50" t="str">
        <v>4.Resuelta</v>
      </c>
      <c r="R50" t="str">
        <v>Canales Asistidos</v>
      </c>
      <c r="S50">
        <v>0</v>
      </c>
      <c r="T50" t="str">
        <v>S</v>
      </c>
    </row>
    <row r="51" spans="1:20">
      <c r="A51">
        <v>33</v>
      </c>
      <c r="B51" t="str">
        <v>Canal Asistidos</v>
      </c>
      <c r="C51" t="str">
        <v>Mapa</v>
      </c>
      <c r="D51" t="str">
        <v>MF-05720</v>
      </c>
      <c r="E51" t="str">
        <v>SPACE</v>
      </c>
      <c r="F51" t="str">
        <v>Bantotal</v>
      </c>
      <c r="G51" t="str">
        <v>Confirmacion de información</v>
      </c>
      <c r="H51" t="str">
        <v xml:space="preserve">Confirmar donde residirán los No clientes (Personas que NO son clientes del Banco) </v>
      </c>
      <c r="I51" t="str">
        <v>Técnica</v>
      </c>
      <c r="J51" t="str">
        <v>Medio</v>
      </c>
      <c r="K51" s="183">
        <v>46108</v>
      </c>
      <c r="L51" s="183">
        <v>0</v>
      </c>
      <c r="M51" s="188">
        <v>0</v>
      </c>
      <c r="N51">
        <v>0</v>
      </c>
      <c r="O51" t="str">
        <v>Sonia B.</v>
      </c>
      <c r="P51" t="b">
        <v>1</v>
      </c>
      <c r="Q51" t="str">
        <v>4.Resuelta</v>
      </c>
      <c r="R51" t="str">
        <v>Canales Asistidos</v>
      </c>
      <c r="S51">
        <v>0</v>
      </c>
      <c r="T51" t="str">
        <v>S</v>
      </c>
    </row>
    <row r="52" spans="1:20">
      <c r="A52">
        <v>34</v>
      </c>
      <c r="B52" t="str">
        <v>Canal Asistidos</v>
      </c>
      <c r="C52" t="str">
        <v>Mapa</v>
      </c>
      <c r="D52" t="str">
        <v>MF-05720</v>
      </c>
      <c r="E52" t="str">
        <v>SPACE</v>
      </c>
      <c r="F52" t="str">
        <v>Bantotal</v>
      </c>
      <c r="G52" t="str">
        <v>Configuracion de estructura comercial</v>
      </c>
      <c r="H52" t="str">
        <v xml:space="preserve">Estructura Comercial de Agencias y CC </v>
      </c>
      <c r="I52" t="str">
        <v>Técnica</v>
      </c>
      <c r="J52" t="str">
        <v>Medio</v>
      </c>
      <c r="K52" s="183">
        <v>46122</v>
      </c>
      <c r="L52" s="183">
        <v>0</v>
      </c>
      <c r="M52" s="188">
        <v>0</v>
      </c>
      <c r="N52">
        <v>0</v>
      </c>
      <c r="O52" t="str">
        <v>Sonia B.</v>
      </c>
      <c r="P52" t="b">
        <v>1</v>
      </c>
      <c r="Q52" t="str">
        <v>1.Identificada</v>
      </c>
      <c r="R52" t="str">
        <v>Canales Asistidos</v>
      </c>
      <c r="S52">
        <v>0</v>
      </c>
      <c r="T52" t="str">
        <v>S</v>
      </c>
    </row>
    <row r="53" spans="1:20">
      <c r="A53">
        <v>35</v>
      </c>
      <c r="B53" t="str">
        <v>Canal Asistidos</v>
      </c>
      <c r="C53" t="str">
        <v>Mapa</v>
      </c>
      <c r="D53" t="str">
        <v>MF-05710</v>
      </c>
      <c r="E53" t="str">
        <v>Reclamos y Dalis</v>
      </c>
      <c r="F53" t="str">
        <v>Negocio</v>
      </c>
      <c r="G53" t="str">
        <v>Definir los roles para back office</v>
      </c>
      <c r="H53" t="str">
        <v>Configuración de roles para back office (RECLAMOS)</v>
      </c>
      <c r="I53" t="str">
        <v>Funcional</v>
      </c>
      <c r="J53" t="str">
        <v>Medio</v>
      </c>
      <c r="K53" s="183">
        <v>46174</v>
      </c>
      <c r="L53" s="183">
        <v>0</v>
      </c>
      <c r="M53" s="188">
        <v>0</v>
      </c>
      <c r="N53">
        <v>0</v>
      </c>
      <c r="O53" t="str">
        <v>Sonia B.</v>
      </c>
      <c r="P53" t="b">
        <v>1</v>
      </c>
      <c r="Q53" t="str">
        <v>1.Identificada</v>
      </c>
      <c r="R53" t="str">
        <v>Canales Asistidos</v>
      </c>
      <c r="S53">
        <v>0</v>
      </c>
      <c r="T53" t="str">
        <v>N</v>
      </c>
    </row>
    <row r="54" spans="1:20">
      <c r="A54">
        <v>36</v>
      </c>
      <c r="B54" t="str">
        <v>Canal Asistidos</v>
      </c>
      <c r="C54" t="str">
        <v>Mapa</v>
      </c>
      <c r="D54" t="str">
        <v>MF-05700</v>
      </c>
      <c r="E54" t="str">
        <v>Reclamos y Dalis</v>
      </c>
      <c r="F54" t="str">
        <v>Negocio</v>
      </c>
      <c r="G54" t="str">
        <v>Definir los roles para agencias</v>
      </c>
      <c r="H54" t="str">
        <v>Configuración de roles para agencias (RECLAMOS)</v>
      </c>
      <c r="I54" t="str">
        <v>Funcional</v>
      </c>
      <c r="J54" t="str">
        <v>Medio</v>
      </c>
      <c r="K54" s="183">
        <v>46174</v>
      </c>
      <c r="L54" s="183">
        <v>0</v>
      </c>
      <c r="M54" s="188">
        <v>0</v>
      </c>
      <c r="N54">
        <v>0</v>
      </c>
      <c r="O54" t="str">
        <v>Sonia B.</v>
      </c>
      <c r="P54" t="b">
        <v>1</v>
      </c>
      <c r="Q54" t="str">
        <v>1.Identificada</v>
      </c>
      <c r="R54" t="str">
        <v>Canales Asistidos</v>
      </c>
      <c r="S54">
        <v>0</v>
      </c>
      <c r="T54" t="str">
        <v>N</v>
      </c>
    </row>
    <row r="55" spans="1:20">
      <c r="A55">
        <v>37</v>
      </c>
      <c r="B55" t="str">
        <v>Canal Asistidos</v>
      </c>
      <c r="C55" t="str">
        <v>Mapa</v>
      </c>
      <c r="D55" t="str">
        <v>MF-05690</v>
      </c>
      <c r="E55" t="str">
        <v>Reclamos y Dalis</v>
      </c>
      <c r="F55" t="str">
        <v>Negocio</v>
      </c>
      <c r="G55" t="str">
        <v>Definir los roles para contact center</v>
      </c>
      <c r="H55" t="str">
        <v>Configuración los roles para contact center (RECLAMOS)</v>
      </c>
      <c r="I55" t="str">
        <v>Funcional</v>
      </c>
      <c r="J55" t="str">
        <v>Medio</v>
      </c>
      <c r="K55" s="183">
        <v>46174</v>
      </c>
      <c r="L55" s="183">
        <v>0</v>
      </c>
      <c r="M55" s="188">
        <v>0</v>
      </c>
      <c r="N55">
        <v>0</v>
      </c>
      <c r="O55" t="str">
        <v>Sonia B.</v>
      </c>
      <c r="P55" t="b">
        <v>1</v>
      </c>
      <c r="Q55" t="str">
        <v>1.Identificada</v>
      </c>
      <c r="R55" t="str">
        <v>Canales Asistidos</v>
      </c>
      <c r="S55">
        <v>0</v>
      </c>
      <c r="T55" t="str">
        <v>N</v>
      </c>
    </row>
    <row r="56" spans="1:20">
      <c r="A56">
        <v>38</v>
      </c>
      <c r="B56" t="str">
        <v>Canal Asistidos</v>
      </c>
      <c r="C56" t="str">
        <v>Mapa</v>
      </c>
      <c r="D56" t="str">
        <v>MF-05680</v>
      </c>
      <c r="E56" t="str">
        <v>Reclamos y Dalis</v>
      </c>
      <c r="F56" t="str">
        <v>Negocio</v>
      </c>
      <c r="G56" t="str">
        <v>Definir los roles para back office</v>
      </c>
      <c r="H56" t="str">
        <v>Configuración de roles para back office (DALIS)</v>
      </c>
      <c r="I56" t="str">
        <v>Funcional</v>
      </c>
      <c r="J56" t="str">
        <v>Medio</v>
      </c>
      <c r="K56" s="183">
        <v>46174</v>
      </c>
      <c r="L56" s="183">
        <v>0</v>
      </c>
      <c r="M56" s="188">
        <v>0</v>
      </c>
      <c r="N56">
        <v>0</v>
      </c>
      <c r="O56" t="str">
        <v>Sonia B.</v>
      </c>
      <c r="P56" t="b">
        <v>1</v>
      </c>
      <c r="Q56" t="str">
        <v>1.Identificada</v>
      </c>
      <c r="R56" t="str">
        <v>Canales Asistidos</v>
      </c>
      <c r="S56">
        <v>0</v>
      </c>
      <c r="T56" t="str">
        <v>N</v>
      </c>
    </row>
    <row r="57" spans="1:20">
      <c r="A57">
        <v>39</v>
      </c>
      <c r="B57" t="str">
        <v>Canal Asistidos</v>
      </c>
      <c r="C57" t="str">
        <v>Mapa</v>
      </c>
      <c r="D57" t="str">
        <v>MF-05670</v>
      </c>
      <c r="E57" t="str">
        <v>Reclamos y Dalis</v>
      </c>
      <c r="F57" t="str">
        <v>Negocio</v>
      </c>
      <c r="G57" t="str">
        <v>Definir los roles para agencias</v>
      </c>
      <c r="H57" t="str">
        <v>Configuración de roles para agencias (DALIS)</v>
      </c>
      <c r="I57" t="str">
        <v>Funcional</v>
      </c>
      <c r="J57" t="str">
        <v>Medio</v>
      </c>
      <c r="K57" s="183">
        <v>46174</v>
      </c>
      <c r="L57" s="183">
        <v>0</v>
      </c>
      <c r="M57" s="188">
        <v>0</v>
      </c>
      <c r="N57">
        <v>0</v>
      </c>
      <c r="O57" t="str">
        <v>Sonia B.</v>
      </c>
      <c r="P57" t="b">
        <v>1</v>
      </c>
      <c r="Q57" t="str">
        <v>1.Identificada</v>
      </c>
      <c r="R57" t="str">
        <v>Canales Asistidos</v>
      </c>
      <c r="S57">
        <v>0</v>
      </c>
      <c r="T57" t="str">
        <v>N</v>
      </c>
    </row>
    <row r="58" spans="1:20">
      <c r="A58">
        <v>40</v>
      </c>
      <c r="B58" t="str">
        <v>Canal Asistidos</v>
      </c>
      <c r="C58" t="str">
        <v>Mapa</v>
      </c>
      <c r="D58" t="str">
        <v>MF-05660</v>
      </c>
      <c r="E58" t="str">
        <v>Reclamos y Dalis</v>
      </c>
      <c r="F58" t="str">
        <v>Negocio</v>
      </c>
      <c r="G58" t="str">
        <v>Definir los roles para contact center</v>
      </c>
      <c r="H58" t="str">
        <v>Configuración los roles para contact center (DALIS)</v>
      </c>
      <c r="I58" t="str">
        <v>Funcional</v>
      </c>
      <c r="J58" t="str">
        <v>Medio</v>
      </c>
      <c r="K58" s="183">
        <v>46174</v>
      </c>
      <c r="L58" s="183">
        <v>0</v>
      </c>
      <c r="M58" s="188">
        <v>0</v>
      </c>
      <c r="N58">
        <v>0</v>
      </c>
      <c r="O58" t="str">
        <v>Sonia B.</v>
      </c>
      <c r="P58" t="b">
        <v>1</v>
      </c>
      <c r="Q58" t="str">
        <v>1.Identificada</v>
      </c>
      <c r="R58" t="str">
        <v>Canales Asistidos</v>
      </c>
      <c r="S58">
        <v>0</v>
      </c>
      <c r="T58" t="str">
        <v>N</v>
      </c>
    </row>
    <row r="59" spans="1:20">
      <c r="A59">
        <v>41</v>
      </c>
      <c r="B59" t="str">
        <v>Canal Asistidos</v>
      </c>
      <c r="C59" t="str">
        <v>Mapa</v>
      </c>
      <c r="D59" t="str">
        <v>MF-05653</v>
      </c>
      <c r="E59" t="str">
        <v>SPACE</v>
      </c>
      <c r="F59" t="str">
        <v>ODS</v>
      </c>
      <c r="G59" t="str">
        <v>Ambiente pre productivo espejo</v>
      </c>
      <c r="H59" t="str">
        <v>Creación de un ambiente pre productivo espejo</v>
      </c>
      <c r="I59" t="str">
        <v>Infraestructura</v>
      </c>
      <c r="J59" t="str">
        <v>Alta</v>
      </c>
      <c r="K59" s="183">
        <v>46178</v>
      </c>
      <c r="L59" s="183">
        <v>0</v>
      </c>
      <c r="M59" s="188">
        <v>0</v>
      </c>
      <c r="N59">
        <v>0</v>
      </c>
      <c r="O59" t="str">
        <v>Sonia B.</v>
      </c>
      <c r="P59" t="b">
        <v>1</v>
      </c>
      <c r="Q59" t="str">
        <v>1.Identificada</v>
      </c>
      <c r="R59" t="str">
        <v>Canales Asistidos</v>
      </c>
      <c r="S59">
        <v>0</v>
      </c>
      <c r="T59" t="str">
        <v>N</v>
      </c>
    </row>
    <row r="60" spans="1:20">
      <c r="A60">
        <v>42</v>
      </c>
      <c r="B60" t="str">
        <v>Canal Asistidos</v>
      </c>
      <c r="C60" t="str">
        <v>Mapa</v>
      </c>
      <c r="D60" t="str">
        <v>MF-05652</v>
      </c>
      <c r="E60" t="str">
        <v>Reclamos y Dalis</v>
      </c>
      <c r="F60" t="str">
        <v>DATA</v>
      </c>
      <c r="G60" t="str">
        <v>Explotacion de datos</v>
      </c>
      <c r="H60" t="str">
        <v>Disponibilizar informacion historica de Dalis en datalake.</v>
      </c>
      <c r="I60" t="str">
        <v>Técnica</v>
      </c>
      <c r="J60" t="str">
        <v>Alta</v>
      </c>
      <c r="K60" s="183">
        <v>46203</v>
      </c>
      <c r="L60" s="183">
        <v>0</v>
      </c>
      <c r="M60" s="188">
        <v>46203</v>
      </c>
      <c r="N60">
        <v>0</v>
      </c>
      <c r="O60" t="str">
        <v>Jean Paul Astonitas</v>
      </c>
      <c r="P60" t="b">
        <v>1</v>
      </c>
      <c r="Q60" t="str">
        <v>1.Identificada</v>
      </c>
      <c r="R60" t="str">
        <v>Canales Asistidos</v>
      </c>
      <c r="S60">
        <v>0</v>
      </c>
      <c r="T60" t="str">
        <v>N</v>
      </c>
    </row>
    <row r="61" spans="1:20">
      <c r="A61">
        <v>43</v>
      </c>
      <c r="B61" t="str">
        <v>Canal Asistidos</v>
      </c>
      <c r="C61" t="str">
        <v>Mapa</v>
      </c>
      <c r="D61" t="str">
        <v>MF-05650</v>
      </c>
      <c r="E61" t="str">
        <v>Reclamos y Dalis</v>
      </c>
      <c r="F61" t="str">
        <v>Web Institucional</v>
      </c>
      <c r="G61" t="str">
        <v>Integración &amp; Conectividad</v>
      </c>
      <c r="H61" t="str">
        <v>Se dejará la información en el bucket S3 con los reclamos generados desde la Web Institucional, y esta viajará en un proceso tipo batch hacia la bandeja de preregistro del sistema de Reclamos.</v>
      </c>
      <c r="I61" t="str">
        <v>Técnica</v>
      </c>
      <c r="J61" t="str">
        <v>Alta</v>
      </c>
      <c r="K61" s="183">
        <v>46203</v>
      </c>
      <c r="L61" s="183">
        <v>0</v>
      </c>
      <c r="M61" s="188">
        <v>46203</v>
      </c>
      <c r="N61">
        <v>0</v>
      </c>
      <c r="O61" t="str">
        <v>Henry J.</v>
      </c>
      <c r="P61" t="b">
        <v>1</v>
      </c>
      <c r="Q61" t="str">
        <v>1.Identificada</v>
      </c>
      <c r="R61" t="str">
        <v>Canales Asistidos</v>
      </c>
      <c r="S61">
        <v>0</v>
      </c>
      <c r="T61" t="str">
        <v>N</v>
      </c>
    </row>
    <row r="62" spans="1:20">
      <c r="A62">
        <v>44</v>
      </c>
      <c r="B62" t="str">
        <v>Canal Asistidos</v>
      </c>
      <c r="C62" t="str">
        <v>Mapa</v>
      </c>
      <c r="D62" t="str">
        <v>MF-05620</v>
      </c>
      <c r="E62" t="str">
        <v>SPACE</v>
      </c>
      <c r="F62" t="str">
        <v>Data</v>
      </c>
      <c r="G62" t="str">
        <v>Fuente de origen de campañas</v>
      </c>
      <c r="H62" t="str">
        <v>Proceso de exportación de campañas</v>
      </c>
      <c r="I62" t="str">
        <v>Funcional</v>
      </c>
      <c r="J62" t="str">
        <v>Medio</v>
      </c>
      <c r="K62" s="183">
        <v>46136</v>
      </c>
      <c r="L62" s="183">
        <v>0</v>
      </c>
      <c r="M62" s="188">
        <v>0</v>
      </c>
      <c r="N62">
        <v>0</v>
      </c>
      <c r="O62" t="str">
        <v>Sonia B.</v>
      </c>
      <c r="P62" t="b">
        <v>1</v>
      </c>
      <c r="Q62" t="str">
        <v>1.Identificada</v>
      </c>
      <c r="R62" t="str">
        <v>Canales Asistidos</v>
      </c>
      <c r="S62">
        <v>0</v>
      </c>
      <c r="T62" t="str">
        <v>S</v>
      </c>
    </row>
    <row r="63" spans="1:20">
      <c r="A63">
        <v>45</v>
      </c>
      <c r="B63" t="str">
        <v>Canal Asistidos</v>
      </c>
      <c r="C63" t="str">
        <v>Mapa</v>
      </c>
      <c r="D63" t="str">
        <v>MF-05620</v>
      </c>
      <c r="E63" t="str">
        <v>SPACE</v>
      </c>
      <c r="F63" t="str">
        <v>Bantotal</v>
      </c>
      <c r="G63" t="str">
        <v>Fuente de origen de campañas</v>
      </c>
      <c r="H63" t="str">
        <v>Proceso de exportación de campañas</v>
      </c>
      <c r="I63" t="str">
        <v>Funcional</v>
      </c>
      <c r="J63" t="str">
        <v>Medio</v>
      </c>
      <c r="K63" s="183">
        <v>46136</v>
      </c>
      <c r="L63" s="183">
        <v>0</v>
      </c>
      <c r="M63" s="188">
        <v>0</v>
      </c>
      <c r="N63">
        <v>0</v>
      </c>
      <c r="O63" t="str">
        <v>Sonia B.</v>
      </c>
      <c r="P63" t="b">
        <v>1</v>
      </c>
      <c r="Q63" t="str">
        <v>1.Identificada</v>
      </c>
      <c r="R63" t="str">
        <v>Canales Asistidos</v>
      </c>
      <c r="S63">
        <v>0</v>
      </c>
      <c r="T63" t="str">
        <v>S</v>
      </c>
    </row>
    <row r="64" spans="1:20">
      <c r="A64">
        <v>46</v>
      </c>
      <c r="B64" t="str">
        <v>Canal Asistidos</v>
      </c>
      <c r="C64" t="str">
        <v>Mapa</v>
      </c>
      <c r="D64" t="str">
        <v>MF-05500</v>
      </c>
      <c r="E64" t="str">
        <v>Cyberfinancial</v>
      </c>
      <c r="F64" t="str">
        <v>Cards &amp; Payments</v>
      </c>
      <c r="G64" t="str">
        <v xml:space="preserve">Actualización de pagos en Bantotal </v>
      </c>
      <c r="H64" t="str">
        <v>Actualización de pagos en bantotal de TC</v>
      </c>
      <c r="I64" t="str">
        <v>Técnica</v>
      </c>
      <c r="J64" t="str">
        <v>Alta</v>
      </c>
      <c r="K64" s="183">
        <v>46204</v>
      </c>
      <c r="L64" s="183">
        <v>0</v>
      </c>
      <c r="M64" s="188" t="str">
        <v>TBD</v>
      </c>
      <c r="N64">
        <v>0</v>
      </c>
      <c r="O64" t="str">
        <v>Sonia B.</v>
      </c>
      <c r="P64" t="b">
        <v>1</v>
      </c>
      <c r="Q64" t="str">
        <v>2.Solicitada</v>
      </c>
      <c r="R64" t="str">
        <v>Canales Asistidos</v>
      </c>
      <c r="S64">
        <v>0</v>
      </c>
      <c r="T64" t="str">
        <v>N</v>
      </c>
    </row>
    <row r="65" spans="1:20">
      <c r="A65">
        <v>47</v>
      </c>
      <c r="B65" t="str">
        <v>Canal Asistidos</v>
      </c>
      <c r="C65" t="str">
        <v>Mapa</v>
      </c>
      <c r="D65" t="str">
        <v>MF-05500</v>
      </c>
      <c r="E65" t="str">
        <v>Cyberfinancial</v>
      </c>
      <c r="F65" t="str">
        <v>Bantotal</v>
      </c>
      <c r="G65" t="str">
        <v xml:space="preserve">Actualización de pagos en Bantotal </v>
      </c>
      <c r="H65" t="str">
        <v>Actualización de pagos en bantotal de TD</v>
      </c>
      <c r="I65" t="str">
        <v>Técnica</v>
      </c>
      <c r="J65" t="str">
        <v>Alta</v>
      </c>
      <c r="K65" s="183">
        <v>46204</v>
      </c>
      <c r="L65" s="183">
        <v>0</v>
      </c>
      <c r="M65" s="188" t="str">
        <v>TBD</v>
      </c>
      <c r="N65">
        <v>0</v>
      </c>
      <c r="O65" t="str">
        <v>Sonia B.</v>
      </c>
      <c r="P65" t="b">
        <v>1</v>
      </c>
      <c r="Q65" t="str">
        <v>2.Solicitada</v>
      </c>
      <c r="R65" t="str">
        <v>Canales Asistidos</v>
      </c>
      <c r="S65">
        <v>0</v>
      </c>
      <c r="T65" t="str">
        <v>N</v>
      </c>
    </row>
    <row r="66" spans="1:20">
      <c r="A66">
        <v>48</v>
      </c>
      <c r="B66" t="str">
        <v>Canal Asistidos</v>
      </c>
      <c r="C66" t="str">
        <v>Mapa</v>
      </c>
      <c r="D66" t="str">
        <v>MF-05480</v>
      </c>
      <c r="E66" t="str">
        <v>SPACE</v>
      </c>
      <c r="F66" t="str">
        <v>Data</v>
      </c>
      <c r="G66" t="str">
        <v>Fuente de origen de campañas</v>
      </c>
      <c r="H66" t="str">
        <v>Proceso de exportación de campañas</v>
      </c>
      <c r="I66" t="str">
        <v>Funcional</v>
      </c>
      <c r="J66" t="str">
        <v>Medio</v>
      </c>
      <c r="K66" s="183">
        <v>46136</v>
      </c>
      <c r="L66" s="183">
        <v>0</v>
      </c>
      <c r="M66" s="188">
        <v>0</v>
      </c>
      <c r="N66">
        <v>0</v>
      </c>
      <c r="O66" t="str">
        <v>Sonia B.</v>
      </c>
      <c r="P66" t="b">
        <v>1</v>
      </c>
      <c r="Q66" t="str">
        <v>1.Identificada</v>
      </c>
      <c r="R66" t="str">
        <v>Canales Asistidos</v>
      </c>
      <c r="S66">
        <v>0</v>
      </c>
      <c r="T66" t="str">
        <v>S</v>
      </c>
    </row>
    <row r="67" spans="1:20">
      <c r="A67">
        <v>49</v>
      </c>
      <c r="B67" t="str">
        <v>Canal Asistidos</v>
      </c>
      <c r="C67" t="str">
        <v>Mapa</v>
      </c>
      <c r="D67" t="str">
        <v>MF-05480</v>
      </c>
      <c r="E67" t="str">
        <v>SPACE</v>
      </c>
      <c r="F67" t="str">
        <v>Bantotal</v>
      </c>
      <c r="G67" t="str">
        <v>Fuente de origen de campañas</v>
      </c>
      <c r="H67" t="str">
        <v>Proceso de exportación de campañas</v>
      </c>
      <c r="I67" t="str">
        <v>Funcional</v>
      </c>
      <c r="J67" t="str">
        <v>Medio</v>
      </c>
      <c r="K67" s="183">
        <v>46136</v>
      </c>
      <c r="L67" s="183">
        <v>0</v>
      </c>
      <c r="M67" s="188">
        <v>0</v>
      </c>
      <c r="N67">
        <v>0</v>
      </c>
      <c r="O67" t="str">
        <v>Sonia B.</v>
      </c>
      <c r="P67" t="b">
        <v>1</v>
      </c>
      <c r="Q67" t="str">
        <v>1.Identificada</v>
      </c>
      <c r="R67" t="str">
        <v>Canales Asistidos</v>
      </c>
      <c r="S67">
        <v>0</v>
      </c>
      <c r="T67" t="str">
        <v>S</v>
      </c>
    </row>
    <row r="68" spans="1:20">
      <c r="A68">
        <v>50</v>
      </c>
      <c r="B68" t="str">
        <v>Canal Asistidos</v>
      </c>
      <c r="C68" t="str">
        <v>Mapa</v>
      </c>
      <c r="D68" t="str">
        <v>MF-05400</v>
      </c>
      <c r="E68" t="str">
        <v>SPACE</v>
      </c>
      <c r="F68" t="str">
        <v>Data</v>
      </c>
      <c r="G68" t="str">
        <v>Fuente de origen de campañas</v>
      </c>
      <c r="H68" t="str">
        <v>Proceso de exportación de campañas</v>
      </c>
      <c r="I68" t="str">
        <v>Funcional</v>
      </c>
      <c r="J68" t="str">
        <v>Medio</v>
      </c>
      <c r="K68" s="183">
        <v>46136</v>
      </c>
      <c r="L68" s="183">
        <v>0</v>
      </c>
      <c r="M68" s="188">
        <v>0</v>
      </c>
      <c r="N68">
        <v>0</v>
      </c>
      <c r="O68" t="str">
        <v>Sonia B.</v>
      </c>
      <c r="P68" t="b">
        <v>1</v>
      </c>
      <c r="Q68" t="str">
        <v>1.Identificada</v>
      </c>
      <c r="R68" t="str">
        <v>Canales Asistidos</v>
      </c>
      <c r="S68">
        <v>0</v>
      </c>
      <c r="T68" t="str">
        <v>S</v>
      </c>
    </row>
    <row r="69" spans="1:20">
      <c r="A69">
        <v>51</v>
      </c>
      <c r="B69" t="str">
        <v>Canal Asistidos</v>
      </c>
      <c r="C69" t="str">
        <v>Mapa</v>
      </c>
      <c r="D69" t="str">
        <v>MF-05400</v>
      </c>
      <c r="E69" t="str">
        <v>SPACE</v>
      </c>
      <c r="F69" t="str">
        <v>Bantotal</v>
      </c>
      <c r="G69" t="str">
        <v>Fuente de origen de campañas</v>
      </c>
      <c r="H69" t="str">
        <v>Proceso de exportación de campañas</v>
      </c>
      <c r="I69" t="str">
        <v>Funcional</v>
      </c>
      <c r="J69" t="str">
        <v>Medio</v>
      </c>
      <c r="K69" s="183">
        <v>46136</v>
      </c>
      <c r="L69" s="183">
        <v>0</v>
      </c>
      <c r="M69" s="188">
        <v>0</v>
      </c>
      <c r="N69">
        <v>0</v>
      </c>
      <c r="O69" t="str">
        <v>Sonia B.</v>
      </c>
      <c r="P69" t="b">
        <v>1</v>
      </c>
      <c r="Q69" t="str">
        <v>1.Identificada</v>
      </c>
      <c r="R69" t="str">
        <v>Canales Asistidos</v>
      </c>
      <c r="S69">
        <v>0</v>
      </c>
      <c r="T69" t="str">
        <v>S</v>
      </c>
    </row>
    <row r="70" spans="1:20">
      <c r="A70">
        <v>52</v>
      </c>
      <c r="B70" t="str">
        <v>Canal Asistidos</v>
      </c>
      <c r="C70" t="str">
        <v>Mapa</v>
      </c>
      <c r="D70" t="str">
        <v>MF-05390</v>
      </c>
      <c r="E70" t="str">
        <v>SPACE</v>
      </c>
      <c r="F70" t="str">
        <v>Data</v>
      </c>
      <c r="G70" t="str">
        <v>Fuente de origen de prospectos</v>
      </c>
      <c r="H70" t="str">
        <v>Proceso de exportación de prospectos</v>
      </c>
      <c r="I70" t="str">
        <v>Funcional</v>
      </c>
      <c r="J70" t="str">
        <v>Medio</v>
      </c>
      <c r="K70" s="183">
        <v>46136</v>
      </c>
      <c r="L70" s="183">
        <v>0</v>
      </c>
      <c r="M70" s="188">
        <v>0</v>
      </c>
      <c r="N70">
        <v>0</v>
      </c>
      <c r="O70" t="str">
        <v>Sonia B.</v>
      </c>
      <c r="P70" t="b">
        <v>1</v>
      </c>
      <c r="Q70" t="str">
        <v>1.Identificada</v>
      </c>
      <c r="R70" t="str">
        <v>Canales Asistidos</v>
      </c>
      <c r="S70">
        <v>0</v>
      </c>
      <c r="T70" t="str">
        <v>S</v>
      </c>
    </row>
    <row r="71" spans="1:20">
      <c r="A71">
        <v>53</v>
      </c>
      <c r="B71" t="str">
        <v>Canal Asistidos</v>
      </c>
      <c r="C71" t="str">
        <v>Mapa</v>
      </c>
      <c r="D71" t="str">
        <v>MF-05380</v>
      </c>
      <c r="E71" t="str">
        <v>SPACE</v>
      </c>
      <c r="F71" t="str">
        <v>Bantotal</v>
      </c>
      <c r="G71" t="str">
        <v>Fuente de origen de clientes desde BT</v>
      </c>
      <c r="H71" t="str">
        <v>Proceso de exportación de clientes desde BT</v>
      </c>
      <c r="I71" t="str">
        <v>Funcional</v>
      </c>
      <c r="J71" t="str">
        <v>Medio</v>
      </c>
      <c r="K71" s="183">
        <v>46136</v>
      </c>
      <c r="L71" s="183">
        <v>0</v>
      </c>
      <c r="M71" s="188">
        <v>0</v>
      </c>
      <c r="N71">
        <v>0</v>
      </c>
      <c r="O71" t="str">
        <v>Sonia B.</v>
      </c>
      <c r="P71" t="b">
        <v>1</v>
      </c>
      <c r="Q71" t="str">
        <v>1.Identificada</v>
      </c>
      <c r="R71" t="str">
        <v>Canales Asistidos</v>
      </c>
      <c r="S71">
        <v>0</v>
      </c>
      <c r="T71" t="str">
        <v>S</v>
      </c>
    </row>
    <row r="72" spans="1:20">
      <c r="A72">
        <v>54</v>
      </c>
      <c r="B72" t="str">
        <v>Canal Asistidos</v>
      </c>
      <c r="C72" t="str">
        <v>Mapa</v>
      </c>
      <c r="D72" t="str">
        <v>MF-05380</v>
      </c>
      <c r="E72" t="str">
        <v>SPACE</v>
      </c>
      <c r="F72">
        <v>0</v>
      </c>
      <c r="G72" t="str">
        <v>Fuente de origen de no clientes</v>
      </c>
      <c r="H72" t="str">
        <v>Proceso de exportación de NO CLIENTES desde XXXXX</v>
      </c>
      <c r="I72" t="str">
        <v>Funcional</v>
      </c>
      <c r="J72" t="str">
        <v>Medio</v>
      </c>
      <c r="K72" s="183">
        <v>46136</v>
      </c>
      <c r="L72" s="183">
        <v>0</v>
      </c>
      <c r="M72" s="188">
        <v>0</v>
      </c>
      <c r="N72">
        <v>0</v>
      </c>
      <c r="O72" t="str">
        <v>Sonia B.</v>
      </c>
      <c r="P72" t="b">
        <v>1</v>
      </c>
      <c r="Q72" t="str">
        <v>1.Identificada</v>
      </c>
      <c r="R72" t="str">
        <v>Canales Asistidos</v>
      </c>
      <c r="S72">
        <v>0</v>
      </c>
      <c r="T72" t="str">
        <v>S</v>
      </c>
    </row>
    <row r="73" spans="1:20">
      <c r="A73">
        <v>55</v>
      </c>
      <c r="B73" t="str">
        <v>Canal Asistidos</v>
      </c>
      <c r="C73" t="str">
        <v>Mapa</v>
      </c>
      <c r="D73" t="str">
        <v>MF-05350</v>
      </c>
      <c r="E73" t="str">
        <v>SPACE</v>
      </c>
      <c r="F73" t="str">
        <v>Cards &amp; Payments</v>
      </c>
      <c r="G73" t="str">
        <v>Definicion de campos para apis</v>
      </c>
      <c r="H73" t="str">
        <v>Confirmación de estados de las tarjetas</v>
      </c>
      <c r="I73" t="str">
        <v>Técnica</v>
      </c>
      <c r="J73" t="str">
        <v>Medio</v>
      </c>
      <c r="K73" s="183">
        <v>46176</v>
      </c>
      <c r="L73" s="183">
        <v>0</v>
      </c>
      <c r="M73" s="188">
        <v>0</v>
      </c>
      <c r="N73">
        <v>0</v>
      </c>
      <c r="O73" t="str">
        <v>Sonia B.</v>
      </c>
      <c r="P73" t="b">
        <v>1</v>
      </c>
      <c r="Q73" t="str">
        <v>1.Identificada</v>
      </c>
      <c r="R73" t="str">
        <v>Canales Asistidos</v>
      </c>
      <c r="S73">
        <v>0</v>
      </c>
      <c r="T73" t="str">
        <v>N</v>
      </c>
    </row>
    <row r="74" spans="1:20">
      <c r="A74">
        <v>56</v>
      </c>
      <c r="B74" t="str">
        <v>Canal Asistidos</v>
      </c>
      <c r="C74" t="str">
        <v>Mapa</v>
      </c>
      <c r="D74" t="str">
        <v>MF-05350</v>
      </c>
      <c r="E74" t="str">
        <v>SPACE</v>
      </c>
      <c r="F74" t="str">
        <v>Negocio</v>
      </c>
      <c r="G74" t="str">
        <v>Definicion de estados y situaciones de Tarjeta de débito</v>
      </c>
      <c r="H74" t="str">
        <v>Definición de estados de tarjeta de débito y motivos de bloqueo</v>
      </c>
      <c r="I74" t="str">
        <v>Técnica</v>
      </c>
      <c r="J74" t="str">
        <v>Medio</v>
      </c>
      <c r="K74" s="183">
        <v>46176</v>
      </c>
      <c r="L74" s="183">
        <v>0</v>
      </c>
      <c r="M74" s="188">
        <v>0</v>
      </c>
      <c r="N74">
        <v>0</v>
      </c>
      <c r="O74" t="str">
        <v>Sonia B.</v>
      </c>
      <c r="P74" t="b">
        <v>1</v>
      </c>
      <c r="Q74" t="str">
        <v>1.Identificada</v>
      </c>
      <c r="R74" t="str">
        <v>Canales Asistidos</v>
      </c>
      <c r="S74">
        <v>0</v>
      </c>
      <c r="T74" t="str">
        <v>N</v>
      </c>
    </row>
    <row r="75" spans="1:20">
      <c r="A75">
        <v>57</v>
      </c>
      <c r="B75" t="str">
        <v>Canal Asistidos</v>
      </c>
      <c r="C75" t="str">
        <v>Mapa</v>
      </c>
      <c r="D75" t="str">
        <v>MF-05340</v>
      </c>
      <c r="E75" t="str">
        <v>SPACE</v>
      </c>
      <c r="F75" t="str">
        <v>Bantotal</v>
      </c>
      <c r="G75" t="str">
        <v>Mapeo de nuevos campos en APIs</v>
      </c>
      <c r="H75" t="str">
        <v>Agregar el campo estado de movimientos para tarjetas de débito</v>
      </c>
      <c r="I75" t="str">
        <v>Técnica</v>
      </c>
      <c r="J75" t="str">
        <v>Medio</v>
      </c>
      <c r="K75" s="183">
        <v>46176</v>
      </c>
      <c r="L75" s="183">
        <v>0</v>
      </c>
      <c r="M75" s="188">
        <v>0</v>
      </c>
      <c r="N75">
        <v>0</v>
      </c>
      <c r="O75" t="str">
        <v>Sonia B.</v>
      </c>
      <c r="P75" t="b">
        <v>1</v>
      </c>
      <c r="Q75" t="str">
        <v>1.Identificada</v>
      </c>
      <c r="R75" t="str">
        <v>Canales Asistidos</v>
      </c>
      <c r="S75">
        <v>0</v>
      </c>
      <c r="T75" t="str">
        <v>N</v>
      </c>
    </row>
    <row r="76" spans="1:20">
      <c r="A76">
        <v>58</v>
      </c>
      <c r="B76" t="str">
        <v>Canal Asistidos</v>
      </c>
      <c r="C76" t="str">
        <v>Mapa</v>
      </c>
      <c r="D76" t="str">
        <v>MF-05340</v>
      </c>
      <c r="E76" t="str">
        <v>SPACE</v>
      </c>
      <c r="F76" t="str">
        <v>Cards &amp; Payments</v>
      </c>
      <c r="G76" t="str">
        <v>Definicion de campos para apis</v>
      </c>
      <c r="H76" t="str">
        <v>Confirmación de estados de las tarjetas</v>
      </c>
      <c r="I76" t="str">
        <v>Técnica</v>
      </c>
      <c r="J76" t="str">
        <v>Medio</v>
      </c>
      <c r="K76" s="183">
        <v>46176</v>
      </c>
      <c r="L76" s="183">
        <v>0</v>
      </c>
      <c r="M76" s="188">
        <v>0</v>
      </c>
      <c r="N76">
        <v>0</v>
      </c>
      <c r="O76" t="str">
        <v>Sonia B.</v>
      </c>
      <c r="P76" t="b">
        <v>1</v>
      </c>
      <c r="Q76" t="str">
        <v>1.Identificada</v>
      </c>
      <c r="R76" t="str">
        <v>Canales Asistidos</v>
      </c>
      <c r="S76">
        <v>0</v>
      </c>
      <c r="T76" t="str">
        <v>N</v>
      </c>
    </row>
    <row r="77" spans="1:20">
      <c r="A77">
        <v>59</v>
      </c>
      <c r="B77" t="str">
        <v>Canal Asistidos</v>
      </c>
      <c r="C77" t="str">
        <v>Mapa</v>
      </c>
      <c r="D77" t="str">
        <v>MF-05340</v>
      </c>
      <c r="E77" t="str">
        <v>SPACE</v>
      </c>
      <c r="F77" t="str">
        <v>Integración ODS</v>
      </c>
      <c r="G77" t="str">
        <v>Apis</v>
      </c>
      <c r="H77" t="str">
        <v>Desarrollo de 8 Apis por parte de ODS (IVR)</v>
      </c>
      <c r="I77" t="str">
        <v>Técnica</v>
      </c>
      <c r="J77" t="str">
        <v>Medio</v>
      </c>
      <c r="K77" s="183">
        <v>46112</v>
      </c>
      <c r="L77" s="183">
        <v>46119</v>
      </c>
      <c r="M77" s="188">
        <v>0</v>
      </c>
      <c r="N77">
        <v>0</v>
      </c>
      <c r="O77" t="str">
        <v>Sonia B.</v>
      </c>
      <c r="P77" t="b">
        <v>1</v>
      </c>
      <c r="Q77" t="str">
        <v>3.En progreso</v>
      </c>
      <c r="R77" t="str">
        <v>Canales Asistidos</v>
      </c>
      <c r="S77">
        <v>0</v>
      </c>
      <c r="T77" t="str">
        <v>S</v>
      </c>
    </row>
    <row r="78" spans="1:20">
      <c r="A78">
        <v>60</v>
      </c>
      <c r="B78" t="str">
        <v>Canal Asistidos</v>
      </c>
      <c r="C78" t="str">
        <v>Mapa</v>
      </c>
      <c r="D78" t="str">
        <v>MF-05340</v>
      </c>
      <c r="E78" t="str">
        <v>SPACE</v>
      </c>
      <c r="F78" t="str">
        <v>Negocio</v>
      </c>
      <c r="G78" t="str">
        <v>Definicion de estados y situaciones de Tarjeta de débito</v>
      </c>
      <c r="H78" t="str">
        <v>Definición de estados de tarjeta de débito y motivos de bloqueo</v>
      </c>
      <c r="I78" t="str">
        <v>Técnica</v>
      </c>
      <c r="J78" t="str">
        <v>Medio</v>
      </c>
      <c r="K78" s="183">
        <v>46176</v>
      </c>
      <c r="L78" s="183">
        <v>0</v>
      </c>
      <c r="M78" s="188">
        <v>0</v>
      </c>
      <c r="N78">
        <v>0</v>
      </c>
      <c r="O78" t="str">
        <v>Sonia B.</v>
      </c>
      <c r="P78" t="b">
        <v>1</v>
      </c>
      <c r="Q78" t="str">
        <v>1.Identificada</v>
      </c>
      <c r="R78" t="str">
        <v>Canales Asistidos</v>
      </c>
      <c r="S78">
        <v>0</v>
      </c>
      <c r="T78" t="str">
        <v>N</v>
      </c>
    </row>
    <row r="79" spans="1:20">
      <c r="A79">
        <v>61</v>
      </c>
      <c r="B79" t="str">
        <v>Canal Asistidos</v>
      </c>
      <c r="C79" t="str">
        <v>Mapa</v>
      </c>
      <c r="D79" t="str">
        <v>MF-05340</v>
      </c>
      <c r="E79" t="str">
        <v>SPACE</v>
      </c>
      <c r="F79" t="str">
        <v>Bantotal</v>
      </c>
      <c r="G79" t="str">
        <v>Fuente de origen de la Base de fraudes</v>
      </c>
      <c r="H79" t="str">
        <v>Confirmar con BT el origen de la base de fraudes para la integración con APIs</v>
      </c>
      <c r="I79" t="str">
        <v>Técnica</v>
      </c>
      <c r="J79" t="str">
        <v>Medio</v>
      </c>
      <c r="K79" s="183">
        <v>46127</v>
      </c>
      <c r="L79" s="183">
        <v>0</v>
      </c>
      <c r="M79" s="188">
        <v>0</v>
      </c>
      <c r="N79">
        <v>0</v>
      </c>
      <c r="O79" t="str">
        <v>Sonia B.</v>
      </c>
      <c r="P79" t="b">
        <v>1</v>
      </c>
      <c r="Q79" t="str">
        <v>1.Identificada</v>
      </c>
      <c r="R79" t="str">
        <v>Canales Asistidos</v>
      </c>
      <c r="S79">
        <v>0</v>
      </c>
      <c r="T79" t="str">
        <v>S</v>
      </c>
    </row>
    <row r="80" spans="1:20">
      <c r="A80">
        <v>62</v>
      </c>
      <c r="B80" t="str">
        <v>Canal Asistidos</v>
      </c>
      <c r="C80" t="str">
        <v>Mapa</v>
      </c>
      <c r="D80" t="str">
        <v>MF-05340</v>
      </c>
      <c r="E80" t="str">
        <v>SPACE</v>
      </c>
      <c r="F80" t="str">
        <v>Bantotal</v>
      </c>
      <c r="G80" t="str">
        <v>Fuente de origen para obtener la lista de países restringidos o prohibidos</v>
      </c>
      <c r="H80" t="str">
        <v>Confirmar con BT el origen de la base de países restringidos o prohibidos</v>
      </c>
      <c r="I80" t="str">
        <v>Técnica</v>
      </c>
      <c r="J80" t="str">
        <v>Medio</v>
      </c>
      <c r="K80" s="183">
        <v>46127</v>
      </c>
      <c r="L80" s="183">
        <v>0</v>
      </c>
      <c r="M80" s="188">
        <v>0</v>
      </c>
      <c r="N80">
        <v>0</v>
      </c>
      <c r="O80" t="str">
        <v>Sonia B.</v>
      </c>
      <c r="P80" t="b">
        <v>1</v>
      </c>
      <c r="Q80" t="str">
        <v>1.Identificada</v>
      </c>
      <c r="R80" t="str">
        <v>Canales Asistidos</v>
      </c>
      <c r="S80">
        <v>0</v>
      </c>
      <c r="T80" t="str">
        <v>S</v>
      </c>
    </row>
    <row r="81" spans="1:20">
      <c r="A81">
        <v>63</v>
      </c>
      <c r="B81" t="str">
        <v>Canal Asistidos</v>
      </c>
      <c r="C81" t="str">
        <v>Mapa</v>
      </c>
      <c r="D81" t="str">
        <v>MF-04830</v>
      </c>
      <c r="E81" t="str">
        <v>Reclamos y Dalis</v>
      </c>
      <c r="F81" t="str">
        <v>Infraestructura</v>
      </c>
      <c r="G81" t="str">
        <v>Habilitacion de accesos</v>
      </c>
      <c r="H81" t="str">
        <v>Habilitacion de usuarios de desarrollo AWS DATA</v>
      </c>
      <c r="I81" t="str">
        <v>Técnica</v>
      </c>
      <c r="J81" t="str">
        <v>Medio</v>
      </c>
      <c r="K81" s="183">
        <v>46112</v>
      </c>
      <c r="L81" s="183">
        <v>0</v>
      </c>
      <c r="M81" s="188">
        <v>46112</v>
      </c>
      <c r="N81">
        <v>0</v>
      </c>
      <c r="O81" t="str">
        <v>Sonia B.</v>
      </c>
      <c r="P81" t="b">
        <v>1</v>
      </c>
      <c r="Q81" t="str">
        <v>4.Resuelta</v>
      </c>
      <c r="R81" t="str">
        <v>Canales Asistidos</v>
      </c>
      <c r="S81">
        <v>0</v>
      </c>
      <c r="T81" t="str">
        <v>S</v>
      </c>
    </row>
    <row r="82" spans="1:20">
      <c r="A82">
        <v>64</v>
      </c>
      <c r="B82" t="str">
        <v>Canal Asistidos</v>
      </c>
      <c r="C82" t="str">
        <v>Mapa</v>
      </c>
      <c r="D82" t="str">
        <v>MF-04830</v>
      </c>
      <c r="E82" t="str">
        <v>Reclamos y Dalis</v>
      </c>
      <c r="F82" t="str">
        <v>DATA</v>
      </c>
      <c r="G82" t="str">
        <v>Explotacion de datos</v>
      </c>
      <c r="H82" t="str">
        <v>Disponibilizar informacion historica de reclamos en datalake.</v>
      </c>
      <c r="I82" t="str">
        <v>Técnica</v>
      </c>
      <c r="J82" t="str">
        <v>Alta</v>
      </c>
      <c r="K82" s="183">
        <v>46203</v>
      </c>
      <c r="L82" s="183">
        <v>0</v>
      </c>
      <c r="M82" s="188">
        <v>46203</v>
      </c>
      <c r="N82">
        <v>0</v>
      </c>
      <c r="O82" t="str">
        <v>Jean Paul Astonitas</v>
      </c>
      <c r="P82" t="b">
        <v>1</v>
      </c>
      <c r="Q82" t="str">
        <v>1.Identificada</v>
      </c>
      <c r="R82" t="str">
        <v>Canales Asistidos</v>
      </c>
      <c r="S82">
        <v>0</v>
      </c>
      <c r="T82" t="str">
        <v>N</v>
      </c>
    </row>
    <row r="83" spans="1:20">
      <c r="A83">
        <v>65</v>
      </c>
      <c r="B83" t="str">
        <v>Canal Asistidos</v>
      </c>
      <c r="C83" t="str">
        <v>Mapa</v>
      </c>
      <c r="D83" t="str">
        <v>MF-04560</v>
      </c>
      <c r="E83" t="str">
        <v>SPACE</v>
      </c>
      <c r="F83" t="str">
        <v>Data</v>
      </c>
      <c r="G83" t="str">
        <v>Reportes</v>
      </c>
      <c r="H83" t="str">
        <v>Generación de reportes de usuarios con información retornada de Space</v>
      </c>
      <c r="I83" t="str">
        <v>Técnica</v>
      </c>
      <c r="J83" t="str">
        <v>Medio</v>
      </c>
      <c r="K83" s="183">
        <v>46199</v>
      </c>
      <c r="L83" s="183">
        <v>0</v>
      </c>
      <c r="M83" s="188">
        <v>0</v>
      </c>
      <c r="N83">
        <v>0</v>
      </c>
      <c r="O83" t="str">
        <v>Sonia B.</v>
      </c>
      <c r="P83" t="b">
        <v>1</v>
      </c>
      <c r="Q83" t="str">
        <v>1.Identificada</v>
      </c>
      <c r="R83" t="str">
        <v>Canales Asistidos</v>
      </c>
      <c r="S83">
        <v>0</v>
      </c>
      <c r="T83" t="str">
        <v>N</v>
      </c>
    </row>
    <row r="84" spans="1:20">
      <c r="A84">
        <v>66</v>
      </c>
      <c r="B84" t="str">
        <v>Canal Asistidos</v>
      </c>
      <c r="C84" t="str">
        <v>Mapa</v>
      </c>
      <c r="D84" t="str">
        <v>MF-04510</v>
      </c>
      <c r="E84" t="str">
        <v>Cyberfinancial</v>
      </c>
      <c r="F84" t="str">
        <v>Data</v>
      </c>
      <c r="G84" t="str">
        <v>Migracion</v>
      </c>
      <c r="H84" t="str">
        <v>Migracion de Datos (One shot) (UAT)</v>
      </c>
      <c r="I84" t="str">
        <v>Técnica</v>
      </c>
      <c r="J84" t="str">
        <v>Alta</v>
      </c>
      <c r="K84" s="183">
        <v>46206</v>
      </c>
      <c r="L84" s="183">
        <v>0</v>
      </c>
      <c r="M84" s="188" t="str">
        <v>TBD</v>
      </c>
      <c r="N84">
        <v>0</v>
      </c>
      <c r="O84" t="str">
        <v>Sonia B.</v>
      </c>
      <c r="P84" t="b">
        <v>1</v>
      </c>
      <c r="Q84" t="str">
        <v>2.Solicitada</v>
      </c>
      <c r="R84" t="str">
        <v>Canales Asistidos</v>
      </c>
      <c r="S84">
        <v>0</v>
      </c>
      <c r="T84" t="str">
        <v>N</v>
      </c>
    </row>
    <row r="85" spans="1:20">
      <c r="A85">
        <v>67</v>
      </c>
      <c r="B85" t="str">
        <v>Canal Asistidos</v>
      </c>
      <c r="C85" t="str">
        <v>Mapa</v>
      </c>
      <c r="D85" t="str">
        <v>MF-04510</v>
      </c>
      <c r="E85" t="str">
        <v>Cyberfinancial</v>
      </c>
      <c r="F85" t="str">
        <v>Infraestructura</v>
      </c>
      <c r="G85" t="str">
        <v>Control M</v>
      </c>
      <c r="H85" t="str">
        <v>Control M: transferencia de archivos</v>
      </c>
      <c r="I85" t="str">
        <v>Técnica</v>
      </c>
      <c r="J85" t="str">
        <v>Medio</v>
      </c>
      <c r="K85" s="183">
        <v>46127</v>
      </c>
      <c r="L85" s="183">
        <v>0</v>
      </c>
      <c r="M85" s="188">
        <v>0</v>
      </c>
      <c r="N85">
        <v>0</v>
      </c>
      <c r="O85" t="str">
        <v>Sonia B.</v>
      </c>
      <c r="P85" t="b">
        <v>1</v>
      </c>
      <c r="Q85" t="str">
        <v>1.Identificada</v>
      </c>
      <c r="R85" t="str">
        <v>Canales Asistidos</v>
      </c>
      <c r="S85">
        <v>0</v>
      </c>
      <c r="T85" t="str">
        <v>S</v>
      </c>
    </row>
    <row r="86" spans="1:20">
      <c r="A86">
        <v>68</v>
      </c>
      <c r="B86" t="str">
        <v>Canal Asistidos</v>
      </c>
      <c r="C86" t="str">
        <v>Mapa</v>
      </c>
      <c r="D86" t="str">
        <v>MF-04510</v>
      </c>
      <c r="E86" t="str">
        <v>Cyberfinancial</v>
      </c>
      <c r="F86" t="str">
        <v>Infraestructura</v>
      </c>
      <c r="G86" t="str">
        <v>Habilitacion de accesos</v>
      </c>
      <c r="H86" t="str">
        <v>Habilitacion de usuarios de desarrollo AWS DATA</v>
      </c>
      <c r="I86" t="str">
        <v>Técnica</v>
      </c>
      <c r="J86" t="str">
        <v>Medio</v>
      </c>
      <c r="K86" s="183">
        <v>46112</v>
      </c>
      <c r="L86" s="183">
        <v>0</v>
      </c>
      <c r="M86" s="188">
        <v>0</v>
      </c>
      <c r="N86">
        <v>0</v>
      </c>
      <c r="O86" t="str">
        <v>Sonia B.</v>
      </c>
      <c r="P86" t="b">
        <v>1</v>
      </c>
      <c r="Q86" t="str">
        <v>1.Identificada</v>
      </c>
      <c r="R86" t="str">
        <v>Canales Asistidos</v>
      </c>
      <c r="S86">
        <v>0</v>
      </c>
      <c r="T86" t="str">
        <v>S</v>
      </c>
    </row>
    <row r="87" spans="1:20">
      <c r="A87">
        <v>69</v>
      </c>
      <c r="B87" t="str">
        <v>Canal Asistidos</v>
      </c>
      <c r="C87" t="str">
        <v>Mapa</v>
      </c>
      <c r="D87" t="str">
        <v>MF-04495</v>
      </c>
      <c r="E87" t="str">
        <v>SPACE</v>
      </c>
      <c r="F87" t="str">
        <v>Bantotal</v>
      </c>
      <c r="G87" t="str">
        <v>Definición de carga de datos</v>
      </c>
      <c r="H87" t="str">
        <v xml:space="preserve">Definir fuente origen para carga de campañas </v>
      </c>
      <c r="I87" t="str">
        <v>Técnica</v>
      </c>
      <c r="J87" t="str">
        <v>Medio</v>
      </c>
      <c r="K87" s="183">
        <v>46112</v>
      </c>
      <c r="L87" s="183">
        <v>46119</v>
      </c>
      <c r="M87" s="188">
        <v>0</v>
      </c>
      <c r="N87">
        <v>0</v>
      </c>
      <c r="O87" t="str">
        <v>Sonia B.</v>
      </c>
      <c r="P87" t="b">
        <v>1</v>
      </c>
      <c r="Q87" t="str">
        <v>4.Resuelta</v>
      </c>
      <c r="R87" t="str">
        <v>Canales Asistidos</v>
      </c>
      <c r="S87" t="str">
        <v>Se concluyó donde será el origen donde se extenderá la base de campañas. (DATA)</v>
      </c>
      <c r="T87" t="str">
        <v>S</v>
      </c>
    </row>
    <row r="88" spans="1:20">
      <c r="A88">
        <v>70</v>
      </c>
      <c r="B88" t="str">
        <v>Canal Asistidos</v>
      </c>
      <c r="C88" t="str">
        <v>Mapa</v>
      </c>
      <c r="D88" t="str">
        <v>MF-04495</v>
      </c>
      <c r="E88" t="str">
        <v>SPACE</v>
      </c>
      <c r="F88" t="str">
        <v>Bantotal</v>
      </c>
      <c r="G88" t="str">
        <v>Confirmacion de información</v>
      </c>
      <c r="H88" t="str">
        <v xml:space="preserve">Confirmar donde residirán los No clientes (Personas que NO son clientes del Banco) </v>
      </c>
      <c r="I88" t="str">
        <v>Técnica</v>
      </c>
      <c r="J88" t="str">
        <v>Medio</v>
      </c>
      <c r="K88" s="183">
        <v>46112</v>
      </c>
      <c r="L88" s="183">
        <v>0</v>
      </c>
      <c r="M88" s="188">
        <v>0</v>
      </c>
      <c r="N88">
        <v>0</v>
      </c>
      <c r="O88" t="str">
        <v>Sonia B.</v>
      </c>
      <c r="P88" t="b">
        <v>1</v>
      </c>
      <c r="Q88" t="str">
        <v>4.Resuelta</v>
      </c>
      <c r="R88" t="str">
        <v>Canales Asistidos</v>
      </c>
      <c r="S88">
        <v>0</v>
      </c>
      <c r="T88" t="str">
        <v>S</v>
      </c>
    </row>
    <row r="89" spans="1:20">
      <c r="A89">
        <v>71</v>
      </c>
      <c r="B89" t="str">
        <v>Canal Asistidos</v>
      </c>
      <c r="C89" t="str">
        <v>Mapa</v>
      </c>
      <c r="D89" t="str">
        <v>MF-04495</v>
      </c>
      <c r="E89" t="str">
        <v>SPACE</v>
      </c>
      <c r="F89" t="str">
        <v>Bantotal</v>
      </c>
      <c r="G89" t="str">
        <v>Configuracion de estructura comercial</v>
      </c>
      <c r="H89" t="str">
        <v xml:space="preserve">Estructura Comercial de Agencias y CC </v>
      </c>
      <c r="I89" t="str">
        <v>Técnica</v>
      </c>
      <c r="J89" t="str">
        <v>Medio</v>
      </c>
      <c r="K89" s="183">
        <v>46122</v>
      </c>
      <c r="L89" s="183">
        <v>0</v>
      </c>
      <c r="M89" s="188">
        <v>0</v>
      </c>
      <c r="N89">
        <v>0</v>
      </c>
      <c r="O89" t="str">
        <v>Sonia B.</v>
      </c>
      <c r="P89" t="b">
        <v>1</v>
      </c>
      <c r="Q89" t="str">
        <v>1.Identificada</v>
      </c>
      <c r="R89" t="str">
        <v>Canales Asistidos</v>
      </c>
      <c r="S89">
        <v>0</v>
      </c>
      <c r="T89" t="str">
        <v>S</v>
      </c>
    </row>
    <row r="90" spans="1:20">
      <c r="A90">
        <v>72</v>
      </c>
      <c r="B90" t="str">
        <v>Canal Asistidos</v>
      </c>
      <c r="C90" t="str">
        <v>Mapa</v>
      </c>
      <c r="D90" t="str">
        <v>MF-04480</v>
      </c>
      <c r="E90" t="str">
        <v>SPACE</v>
      </c>
      <c r="F90" t="str">
        <v>Cards &amp; Payments</v>
      </c>
      <c r="G90" t="str">
        <v>Confirmar funcionalidades</v>
      </c>
      <c r="H90" t="str">
        <v>Confirmar funcionalidades en las herramientas Vision+ e IG, entre otras.</v>
      </c>
      <c r="I90" t="str">
        <v>Técnica</v>
      </c>
      <c r="J90" t="str">
        <v>Medio</v>
      </c>
      <c r="K90" s="183">
        <v>46122</v>
      </c>
      <c r="L90" s="183">
        <v>0</v>
      </c>
      <c r="M90" s="188">
        <v>0</v>
      </c>
      <c r="N90">
        <v>0</v>
      </c>
      <c r="O90" t="str">
        <v>Sonia B.</v>
      </c>
      <c r="P90" t="b">
        <v>1</v>
      </c>
      <c r="Q90" t="str">
        <v>1.Identificada</v>
      </c>
      <c r="R90" t="str">
        <v>Canales Asistidos</v>
      </c>
      <c r="S90">
        <v>0</v>
      </c>
      <c r="T90" t="str">
        <v>S</v>
      </c>
    </row>
    <row r="91" spans="1:20">
      <c r="A91">
        <v>73</v>
      </c>
      <c r="B91" t="str">
        <v>Canal Asistidos</v>
      </c>
      <c r="C91" t="str">
        <v>Mapa</v>
      </c>
      <c r="D91" t="str">
        <v>MF-04480</v>
      </c>
      <c r="E91" t="str">
        <v>SPACE</v>
      </c>
      <c r="F91" t="str">
        <v>Cyberfinancial</v>
      </c>
      <c r="G91" t="str">
        <v>Integracion Cyberfinancial</v>
      </c>
      <c r="H91" t="str">
        <v>Integración con cyberfinancial</v>
      </c>
      <c r="I91" t="str">
        <v>Técnica</v>
      </c>
      <c r="J91" t="str">
        <v>Medio</v>
      </c>
      <c r="K91" s="183">
        <v>46112</v>
      </c>
      <c r="L91" s="183">
        <v>0</v>
      </c>
      <c r="M91" s="188">
        <v>0</v>
      </c>
      <c r="N91">
        <v>0</v>
      </c>
      <c r="O91" t="str">
        <v>Sonia B.</v>
      </c>
      <c r="P91" t="b">
        <v>1</v>
      </c>
      <c r="Q91" t="str">
        <v>3.En progreso</v>
      </c>
      <c r="R91" t="str">
        <v>Canales Asistidos</v>
      </c>
      <c r="S91">
        <v>0</v>
      </c>
      <c r="T91" t="str">
        <v>S</v>
      </c>
    </row>
    <row r="92" spans="1:20">
      <c r="A92">
        <v>74</v>
      </c>
      <c r="B92" t="str">
        <v>Canal Asistidos</v>
      </c>
      <c r="C92" t="str">
        <v>Mapa</v>
      </c>
      <c r="D92" t="str">
        <v>MF-04480</v>
      </c>
      <c r="E92" t="str">
        <v>SPACE</v>
      </c>
      <c r="F92" t="str">
        <v>DMS</v>
      </c>
      <c r="G92" t="str">
        <v xml:space="preserve">Confirmacion de funcionalidades </v>
      </c>
      <c r="H92" t="str">
        <v>Confirmacion de funcionalidades actuales de DMS y roles para on demand</v>
      </c>
      <c r="I92" t="str">
        <v>Técnica</v>
      </c>
      <c r="J92" t="str">
        <v>Medio</v>
      </c>
      <c r="K92" s="183">
        <v>46108</v>
      </c>
      <c r="L92" s="183">
        <v>0</v>
      </c>
      <c r="M92" s="188">
        <v>0</v>
      </c>
      <c r="N92">
        <v>0</v>
      </c>
      <c r="O92" t="str">
        <v>Sonia B.</v>
      </c>
      <c r="P92" t="b">
        <v>1</v>
      </c>
      <c r="Q92" t="str">
        <v>1.Identificada</v>
      </c>
      <c r="R92" t="str">
        <v>Canales Asistidos</v>
      </c>
      <c r="S92">
        <v>0</v>
      </c>
      <c r="T92" t="str">
        <v>S</v>
      </c>
    </row>
    <row r="93" spans="1:20">
      <c r="A93">
        <v>75</v>
      </c>
      <c r="B93" t="str">
        <v>Canal Asistidos</v>
      </c>
      <c r="C93" t="str">
        <v>Mapa</v>
      </c>
      <c r="D93" t="str">
        <v>MF-04480</v>
      </c>
      <c r="E93" t="str">
        <v>SPACE</v>
      </c>
      <c r="F93" t="str">
        <v>Front consulta Documentos</v>
      </c>
      <c r="G93" t="str">
        <v>Integración web documentos</v>
      </c>
      <c r="H93" t="str">
        <v>Integración con aplicación de consulta de estados de cuenta</v>
      </c>
      <c r="I93" t="str">
        <v>Técnica</v>
      </c>
      <c r="J93" t="str">
        <v>Alta</v>
      </c>
      <c r="K93" s="183">
        <v>46227</v>
      </c>
      <c r="L93" s="183">
        <v>0</v>
      </c>
      <c r="M93" s="188">
        <v>0</v>
      </c>
      <c r="N93">
        <v>0</v>
      </c>
      <c r="O93" t="str">
        <v>Sonia B.</v>
      </c>
      <c r="P93" t="b">
        <v>1</v>
      </c>
      <c r="Q93" t="str">
        <v>1.Identificada</v>
      </c>
      <c r="R93" t="str">
        <v>Canales Asistidos</v>
      </c>
      <c r="S93">
        <v>0</v>
      </c>
      <c r="T93" t="str">
        <v>N</v>
      </c>
    </row>
    <row r="94" spans="1:20">
      <c r="A94">
        <v>76</v>
      </c>
      <c r="B94" t="str">
        <v>Canal Asistidos</v>
      </c>
      <c r="C94" t="str">
        <v>Mapa</v>
      </c>
      <c r="D94" t="str">
        <v>MF-04380</v>
      </c>
      <c r="E94" t="str">
        <v>SPACE</v>
      </c>
      <c r="F94" t="str">
        <v>Reclamos y Dalis</v>
      </c>
      <c r="G94" t="str">
        <v>Integración quejas y reclamos</v>
      </c>
      <c r="H94" t="str">
        <v>Integración con aplicación de quejas y reclamos</v>
      </c>
      <c r="I94" t="str">
        <v>Técnica</v>
      </c>
      <c r="J94" t="str">
        <v>Alta</v>
      </c>
      <c r="K94" s="183">
        <v>46122</v>
      </c>
      <c r="L94" s="183">
        <v>0</v>
      </c>
      <c r="M94" s="188">
        <v>0</v>
      </c>
      <c r="N94">
        <v>0</v>
      </c>
      <c r="O94" t="str">
        <v>Sonia B.</v>
      </c>
      <c r="P94" t="b">
        <v>1</v>
      </c>
      <c r="Q94" t="str">
        <v>1.Identificada</v>
      </c>
      <c r="R94" t="str">
        <v>Canales Asistidos</v>
      </c>
      <c r="S94">
        <v>0</v>
      </c>
      <c r="T94" t="str">
        <v>S</v>
      </c>
    </row>
    <row r="95" spans="1:20">
      <c r="A95">
        <v>77</v>
      </c>
      <c r="B95" t="str">
        <v>Canal Asistidos</v>
      </c>
      <c r="C95" t="str">
        <v>Mapa</v>
      </c>
      <c r="D95" t="str">
        <v>MF-04380</v>
      </c>
      <c r="E95" t="str">
        <v>SPACE</v>
      </c>
      <c r="F95" t="str">
        <v>Infraestructura</v>
      </c>
      <c r="G95" t="str">
        <v>Conectividad</v>
      </c>
      <c r="H95" t="str">
        <v>Central Telefonica</v>
      </c>
      <c r="I95" t="str">
        <v>Técnica</v>
      </c>
      <c r="J95" t="str">
        <v>Alta</v>
      </c>
      <c r="K95" s="183">
        <v>46178</v>
      </c>
      <c r="L95" s="183">
        <v>0</v>
      </c>
      <c r="M95" s="188">
        <v>0</v>
      </c>
      <c r="N95">
        <v>0</v>
      </c>
      <c r="O95" t="str">
        <v>Sonia B.</v>
      </c>
      <c r="P95" t="b">
        <v>1</v>
      </c>
      <c r="Q95" t="str">
        <v>1.Identificada</v>
      </c>
      <c r="R95" t="str">
        <v>Canales Asistidos</v>
      </c>
      <c r="S95">
        <v>0</v>
      </c>
      <c r="T95" t="str">
        <v>N</v>
      </c>
    </row>
    <row r="96" spans="1:20">
      <c r="A96">
        <v>78</v>
      </c>
      <c r="B96" t="str">
        <v>Canal Asistidos</v>
      </c>
      <c r="C96" t="str">
        <v>Mapa</v>
      </c>
      <c r="D96" t="str">
        <v>MF-04350</v>
      </c>
      <c r="E96" t="str">
        <v>SPACE</v>
      </c>
      <c r="F96" t="str">
        <v>Infraestructura</v>
      </c>
      <c r="G96" t="str">
        <v>Conectividad</v>
      </c>
      <c r="H96" t="str">
        <v>Central Telefonica</v>
      </c>
      <c r="I96" t="str">
        <v>Técnica</v>
      </c>
      <c r="J96" t="str">
        <v>Alta</v>
      </c>
      <c r="K96" s="183">
        <v>46178</v>
      </c>
      <c r="L96" s="183">
        <v>0</v>
      </c>
      <c r="M96" s="188">
        <v>0</v>
      </c>
      <c r="N96">
        <v>0</v>
      </c>
      <c r="O96" t="str">
        <v>Sonia B.</v>
      </c>
      <c r="P96" t="b">
        <v>1</v>
      </c>
      <c r="Q96" t="str">
        <v>1.Identificada</v>
      </c>
      <c r="R96" t="str">
        <v>Canales Asistidos</v>
      </c>
      <c r="S96">
        <v>0</v>
      </c>
      <c r="T96" t="str">
        <v>N</v>
      </c>
    </row>
    <row r="97" spans="1:20">
      <c r="A97">
        <v>79</v>
      </c>
      <c r="B97" t="str">
        <v>Canal Asistidos</v>
      </c>
      <c r="C97" t="str">
        <v>Mapa</v>
      </c>
      <c r="D97" t="str">
        <v>MF-04260</v>
      </c>
      <c r="E97" t="str">
        <v>SPACE</v>
      </c>
      <c r="F97" t="str">
        <v>Infraestructura</v>
      </c>
      <c r="G97" t="str">
        <v>Conectividad</v>
      </c>
      <c r="H97" t="str">
        <v>Central Telefonica</v>
      </c>
      <c r="I97" t="str">
        <v>Técnica</v>
      </c>
      <c r="J97" t="str">
        <v>Alta</v>
      </c>
      <c r="K97" s="183">
        <v>46178</v>
      </c>
      <c r="L97" s="183">
        <v>0</v>
      </c>
      <c r="M97" s="188">
        <v>0</v>
      </c>
      <c r="N97">
        <v>0</v>
      </c>
      <c r="O97" t="str">
        <v>Sonia B.</v>
      </c>
      <c r="P97" t="b">
        <v>1</v>
      </c>
      <c r="Q97" t="str">
        <v>1.Identificada</v>
      </c>
      <c r="R97" t="str">
        <v>Canales Asistidos</v>
      </c>
      <c r="S97">
        <v>0</v>
      </c>
      <c r="T97" t="str">
        <v>N</v>
      </c>
    </row>
    <row r="98" spans="1:20">
      <c r="A98">
        <v>80</v>
      </c>
      <c r="B98" t="str">
        <v>Canal Asistidos</v>
      </c>
      <c r="C98" t="str">
        <v>Mapa</v>
      </c>
      <c r="D98" t="str">
        <v>MF-04250</v>
      </c>
      <c r="E98" t="str">
        <v>SPACE</v>
      </c>
      <c r="F98" t="str">
        <v>Mesa de concesiones</v>
      </c>
      <c r="G98" t="str">
        <v>Conexión a RENIEC</v>
      </c>
      <c r="H98" t="str">
        <v>Link de ingreso a Reniec desde SPACE</v>
      </c>
      <c r="I98" t="str">
        <v>Técnica</v>
      </c>
      <c r="J98" t="str">
        <v>Medio</v>
      </c>
      <c r="K98" s="183">
        <v>46227</v>
      </c>
      <c r="L98" s="183">
        <v>0</v>
      </c>
      <c r="M98" s="188">
        <v>0</v>
      </c>
      <c r="N98">
        <v>0</v>
      </c>
      <c r="O98" t="str">
        <v>Sonia B.</v>
      </c>
      <c r="P98" t="b">
        <v>1</v>
      </c>
      <c r="Q98" t="str">
        <v>1.Identificada</v>
      </c>
      <c r="R98" t="str">
        <v>Canales Asistidos</v>
      </c>
      <c r="S98">
        <v>0</v>
      </c>
      <c r="T98" t="str">
        <v>N</v>
      </c>
    </row>
    <row r="99" spans="1:20">
      <c r="A99">
        <v>81</v>
      </c>
      <c r="B99" t="str">
        <v>Canal Asistidos</v>
      </c>
      <c r="C99" t="str">
        <v>Mapa</v>
      </c>
      <c r="D99" t="str">
        <v>MF-04230</v>
      </c>
      <c r="E99" t="str">
        <v>SPACE</v>
      </c>
      <c r="F99" t="str">
        <v>Infraestructura</v>
      </c>
      <c r="G99" t="str">
        <v>Dispositivo biometrico</v>
      </c>
      <c r="H99" t="str">
        <v>Disponibilidad del dispositivo biometrico</v>
      </c>
      <c r="I99" t="str">
        <v>Infraestructura</v>
      </c>
      <c r="J99" t="str">
        <v>Medio</v>
      </c>
      <c r="K99" s="183">
        <v>46178</v>
      </c>
      <c r="L99" s="183">
        <v>0</v>
      </c>
      <c r="M99" s="188">
        <v>0</v>
      </c>
      <c r="N99">
        <v>0</v>
      </c>
      <c r="O99" t="str">
        <v>Sonia B.</v>
      </c>
      <c r="P99" t="b">
        <v>1</v>
      </c>
      <c r="Q99" t="str">
        <v>1.Identificada</v>
      </c>
      <c r="R99" t="str">
        <v>Canales Asistidos</v>
      </c>
      <c r="S99">
        <v>0</v>
      </c>
      <c r="T99" t="str">
        <v>N</v>
      </c>
    </row>
    <row r="100" spans="1:20">
      <c r="A100">
        <v>82</v>
      </c>
      <c r="B100" t="str">
        <v>Canal Asistidos</v>
      </c>
      <c r="C100" t="str">
        <v>Mapa</v>
      </c>
      <c r="D100" t="str">
        <v>MF-04230</v>
      </c>
      <c r="E100" t="str">
        <v>SPACE</v>
      </c>
      <c r="F100" t="str">
        <v>Infraestructura</v>
      </c>
      <c r="G100" t="str">
        <v>Dispositivo biometrico</v>
      </c>
      <c r="H100" t="str">
        <v>Habilitación de Equipo con Biomatch Client</v>
      </c>
      <c r="I100" t="str">
        <v>Infraestructura</v>
      </c>
      <c r="J100" t="str">
        <v>Medio</v>
      </c>
      <c r="K100" s="183">
        <v>46178</v>
      </c>
      <c r="L100" s="183">
        <v>0</v>
      </c>
      <c r="M100" s="188">
        <v>0</v>
      </c>
      <c r="N100">
        <v>0</v>
      </c>
      <c r="O100" t="str">
        <v>Sonia B.</v>
      </c>
      <c r="P100" t="b">
        <v>1</v>
      </c>
      <c r="Q100" t="str">
        <v>1.Identificada</v>
      </c>
      <c r="R100" t="str">
        <v>Canales Asistidos</v>
      </c>
      <c r="S100">
        <v>0</v>
      </c>
      <c r="T100" t="str">
        <v>N</v>
      </c>
    </row>
    <row r="101" spans="1:20">
      <c r="A101">
        <v>83</v>
      </c>
      <c r="B101" t="str">
        <v>Canal Asistidos</v>
      </c>
      <c r="C101" t="str">
        <v>Mapa</v>
      </c>
      <c r="D101" t="str">
        <v>MF-04230</v>
      </c>
      <c r="E101" t="str">
        <v>SPACE</v>
      </c>
      <c r="F101" t="str">
        <v>Zytrust</v>
      </c>
      <c r="G101" t="str">
        <v>Integracion</v>
      </c>
      <c r="H101" t="str">
        <v xml:space="preserve">Autenticación/Identificación de cliente con huellero </v>
      </c>
      <c r="I101" t="str">
        <v>Técnica</v>
      </c>
      <c r="J101" t="str">
        <v>Medio</v>
      </c>
      <c r="K101" s="183">
        <v>46118</v>
      </c>
      <c r="L101" s="183">
        <v>0</v>
      </c>
      <c r="M101" s="188">
        <v>0</v>
      </c>
      <c r="N101">
        <v>0</v>
      </c>
      <c r="O101" t="str">
        <v>Sonia B.</v>
      </c>
      <c r="P101" t="b">
        <v>1</v>
      </c>
      <c r="Q101" t="str">
        <v>1.Identificada</v>
      </c>
      <c r="R101" t="str">
        <v>Canales Asistidos</v>
      </c>
      <c r="S101">
        <v>0</v>
      </c>
      <c r="T101" t="str">
        <v>S</v>
      </c>
    </row>
    <row r="102" spans="1:20">
      <c r="A102">
        <v>84</v>
      </c>
      <c r="B102" t="str">
        <v>Canal Asistidos</v>
      </c>
      <c r="C102" t="str">
        <v>Mapa</v>
      </c>
      <c r="D102" t="str">
        <v>MF-04200</v>
      </c>
      <c r="E102" t="str">
        <v>SPACE</v>
      </c>
      <c r="F102" t="str">
        <v>Prosegur</v>
      </c>
      <c r="G102" t="str">
        <v>Link de ingreso a web PROSEGUR desde Space</v>
      </c>
      <c r="H102" t="str">
        <v>Integración con aplicación web de Prosegur</v>
      </c>
      <c r="I102" t="str">
        <v>Técnica</v>
      </c>
      <c r="J102" t="str">
        <v>Alta</v>
      </c>
      <c r="K102" s="183">
        <v>46227</v>
      </c>
      <c r="L102" s="183">
        <v>0</v>
      </c>
      <c r="M102" s="188">
        <v>0</v>
      </c>
      <c r="N102">
        <v>0</v>
      </c>
      <c r="O102" t="str">
        <v>Sonia B.</v>
      </c>
      <c r="P102" t="b">
        <v>1</v>
      </c>
      <c r="Q102" t="str">
        <v>1.Identificada</v>
      </c>
      <c r="R102" t="str">
        <v>Canales Asistidos</v>
      </c>
      <c r="S102">
        <v>0</v>
      </c>
      <c r="T102" t="str">
        <v>N</v>
      </c>
    </row>
    <row r="103" spans="1:20">
      <c r="A103">
        <v>85</v>
      </c>
      <c r="B103" t="str">
        <v>Canal Asistidos</v>
      </c>
      <c r="C103" t="str">
        <v>Mapa</v>
      </c>
      <c r="D103" t="str">
        <v>MF-04200</v>
      </c>
      <c r="E103" t="str">
        <v>SPACE</v>
      </c>
      <c r="F103" t="str">
        <v>Enotria</v>
      </c>
      <c r="G103" t="str">
        <v>Link de ingreso a Web Enotria desde Space</v>
      </c>
      <c r="H103" t="str">
        <v>Integración con aplicación web de Enotria</v>
      </c>
      <c r="I103" t="str">
        <v>Técnica</v>
      </c>
      <c r="J103" t="str">
        <v>Alta</v>
      </c>
      <c r="K103" s="183">
        <v>46227</v>
      </c>
      <c r="L103" s="183">
        <v>0</v>
      </c>
      <c r="M103" s="188">
        <v>0</v>
      </c>
      <c r="N103">
        <v>0</v>
      </c>
      <c r="O103" t="str">
        <v>Sonia B.</v>
      </c>
      <c r="P103" t="b">
        <v>1</v>
      </c>
      <c r="Q103" t="str">
        <v>1.Identificada</v>
      </c>
      <c r="R103" t="str">
        <v>Canales Asistidos</v>
      </c>
      <c r="S103">
        <v>0</v>
      </c>
      <c r="T103" t="str">
        <v>N</v>
      </c>
    </row>
    <row r="104" spans="1:20">
      <c r="A104">
        <v>86</v>
      </c>
      <c r="B104" t="str">
        <v>Canal Asistidos</v>
      </c>
      <c r="C104" t="str">
        <v>Mapa</v>
      </c>
      <c r="D104" t="str">
        <v>MF-04180</v>
      </c>
      <c r="E104" t="str">
        <v>SPACE</v>
      </c>
      <c r="F104" t="str">
        <v>Infraestructura</v>
      </c>
      <c r="G104" t="str">
        <v>Conectividad</v>
      </c>
      <c r="H104" t="str">
        <v>Central Telefonica</v>
      </c>
      <c r="I104" t="str">
        <v>Técnica</v>
      </c>
      <c r="J104" t="str">
        <v>Alta</v>
      </c>
      <c r="K104" s="183">
        <v>46142</v>
      </c>
      <c r="L104" s="183">
        <v>0</v>
      </c>
      <c r="M104" s="188">
        <v>0</v>
      </c>
      <c r="N104">
        <v>0</v>
      </c>
      <c r="O104" t="str">
        <v>Sonia B.</v>
      </c>
      <c r="P104" t="b">
        <v>1</v>
      </c>
      <c r="Q104" t="str">
        <v>1.Identificada</v>
      </c>
      <c r="R104" t="str">
        <v>Canales Asistidos</v>
      </c>
      <c r="S104">
        <v>0</v>
      </c>
      <c r="T104" t="str">
        <v>S</v>
      </c>
    </row>
    <row r="105" spans="1:20">
      <c r="A105">
        <v>87</v>
      </c>
      <c r="B105" t="str">
        <v>Canal Asistidos</v>
      </c>
      <c r="C105" t="str">
        <v>Mapa</v>
      </c>
      <c r="D105" t="str">
        <v>MF-04160</v>
      </c>
      <c r="E105" t="str">
        <v>SPACE</v>
      </c>
      <c r="F105" t="str">
        <v>Reclamos y Dalis</v>
      </c>
      <c r="G105" t="str">
        <v>Integración web quejas y reclamos</v>
      </c>
      <c r="H105" t="str">
        <v>Integración con aplicación de quejas y reclamos</v>
      </c>
      <c r="I105" t="str">
        <v>Técnica</v>
      </c>
      <c r="J105" t="str">
        <v>Alta</v>
      </c>
      <c r="K105" s="183">
        <v>46227</v>
      </c>
      <c r="L105" s="183">
        <v>0</v>
      </c>
      <c r="M105" s="188">
        <v>0</v>
      </c>
      <c r="N105">
        <v>0</v>
      </c>
      <c r="O105" t="str">
        <v>Sonia B.</v>
      </c>
      <c r="P105" t="b">
        <v>1</v>
      </c>
      <c r="Q105" t="str">
        <v>1.Identificada</v>
      </c>
      <c r="R105" t="str">
        <v>Canales Asistidos</v>
      </c>
      <c r="S105">
        <v>0</v>
      </c>
      <c r="T105" t="str">
        <v>N</v>
      </c>
    </row>
    <row r="106" spans="1:20">
      <c r="A106">
        <v>88</v>
      </c>
      <c r="B106" t="str">
        <v>Canal Asistidos</v>
      </c>
      <c r="C106" t="str">
        <v>Mapa</v>
      </c>
      <c r="D106" t="str">
        <v>MF-04110</v>
      </c>
      <c r="E106" t="str">
        <v>SPACE</v>
      </c>
      <c r="F106" t="str">
        <v>Digital</v>
      </c>
      <c r="G106" t="str">
        <v>Integración web asistidos</v>
      </c>
      <c r="H106" t="str">
        <v xml:space="preserve">Integración de la web asistidos </v>
      </c>
      <c r="I106" t="str">
        <v>Técnica</v>
      </c>
      <c r="J106" t="str">
        <v>Alta</v>
      </c>
      <c r="K106" s="183">
        <v>46199</v>
      </c>
      <c r="L106" s="183">
        <v>0</v>
      </c>
      <c r="M106" s="188">
        <v>0</v>
      </c>
      <c r="N106">
        <v>0</v>
      </c>
      <c r="O106" t="str">
        <v>Sonia B.</v>
      </c>
      <c r="P106" t="b">
        <v>1</v>
      </c>
      <c r="Q106" t="str">
        <v>1.Identificada</v>
      </c>
      <c r="R106">
        <v>0</v>
      </c>
      <c r="S106">
        <v>0</v>
      </c>
      <c r="T106" t="str">
        <v>N</v>
      </c>
    </row>
    <row r="107" spans="1:20">
      <c r="A107">
        <v>89</v>
      </c>
      <c r="B107" t="str">
        <v>Canal Asistidos</v>
      </c>
      <c r="C107" t="str">
        <v>Mapa</v>
      </c>
      <c r="D107" t="str">
        <v>MF-04010</v>
      </c>
      <c r="E107" t="str">
        <v>Cyberfinancial</v>
      </c>
      <c r="F107" t="str">
        <v>Negocio</v>
      </c>
      <c r="G107" t="str">
        <v>Definicion de Historias PI3</v>
      </c>
      <c r="H107" t="str">
        <v>Cerrar con las historias de usaurio asocidas al PI3</v>
      </c>
      <c r="I107" t="str">
        <v>Funcional</v>
      </c>
      <c r="J107" t="str">
        <v>Medio</v>
      </c>
      <c r="K107" s="183">
        <v>46185</v>
      </c>
      <c r="L107" s="183">
        <v>0</v>
      </c>
      <c r="M107" s="188" t="str">
        <v>TBD</v>
      </c>
      <c r="N107">
        <v>0</v>
      </c>
      <c r="O107" t="str">
        <v>Sonia B.</v>
      </c>
      <c r="P107" t="b">
        <v>1</v>
      </c>
      <c r="Q107" t="str">
        <v>1.Identificada</v>
      </c>
      <c r="R107" t="str">
        <v>Canales Asistidos</v>
      </c>
      <c r="S107">
        <v>0</v>
      </c>
      <c r="T107" t="str">
        <v>N</v>
      </c>
    </row>
    <row r="108" spans="1:20">
      <c r="A108">
        <v>90</v>
      </c>
      <c r="B108" t="str">
        <v>Canal Asistidos</v>
      </c>
      <c r="C108" t="str">
        <v>Mapa</v>
      </c>
      <c r="D108" t="str">
        <v>MF-03990</v>
      </c>
      <c r="E108" t="str">
        <v>Cyberfinancial</v>
      </c>
      <c r="F108" t="str">
        <v>Negocio</v>
      </c>
      <c r="G108" t="str">
        <v>Definicion de Historias PI2</v>
      </c>
      <c r="H108" t="str">
        <v>Cerrar con las historias de usuario asocidas al PI2</v>
      </c>
      <c r="I108" t="str">
        <v>Funcional</v>
      </c>
      <c r="J108" t="str">
        <v>Medio</v>
      </c>
      <c r="K108" s="183">
        <v>46104</v>
      </c>
      <c r="L108" s="183">
        <v>46122</v>
      </c>
      <c r="M108" s="188" t="str">
        <v>TBD</v>
      </c>
      <c r="N108">
        <v>0</v>
      </c>
      <c r="O108" t="str">
        <v>Sonia B.</v>
      </c>
      <c r="P108" t="b">
        <v>1</v>
      </c>
      <c r="Q108" t="str">
        <v>3.En progreso</v>
      </c>
      <c r="R108" t="str">
        <v>Canales Asistidos</v>
      </c>
      <c r="S108">
        <v>0</v>
      </c>
      <c r="T108" t="str">
        <v>S</v>
      </c>
    </row>
    <row r="109" spans="1:20">
      <c r="A109">
        <v>91</v>
      </c>
      <c r="B109" t="str">
        <v>Canal Asistidos</v>
      </c>
      <c r="C109" t="str">
        <v>Mapa</v>
      </c>
      <c r="D109" t="str">
        <v>MF-03885</v>
      </c>
      <c r="E109" t="str">
        <v>SPACE</v>
      </c>
      <c r="F109" t="str">
        <v>Ciberseguridad</v>
      </c>
      <c r="G109" t="str">
        <v>Integración</v>
      </c>
      <c r="H109" t="str">
        <v>Validación de las Url's de las aplicaciones externas a embeber en Space</v>
      </c>
      <c r="I109" t="str">
        <v>Técnica</v>
      </c>
      <c r="J109" t="str">
        <v>Alta</v>
      </c>
      <c r="K109" s="183">
        <v>46122</v>
      </c>
      <c r="L109" s="183">
        <v>0</v>
      </c>
      <c r="M109" s="188">
        <v>0</v>
      </c>
      <c r="N109">
        <v>0</v>
      </c>
      <c r="O109" t="str">
        <v>Sonia B.</v>
      </c>
      <c r="P109" t="b">
        <v>1</v>
      </c>
      <c r="Q109" t="str">
        <v>1.Identificada</v>
      </c>
      <c r="R109" t="str">
        <v>Canales Asistidos</v>
      </c>
      <c r="S109">
        <v>0</v>
      </c>
      <c r="T109" t="str">
        <v>S</v>
      </c>
    </row>
    <row r="110" spans="1:20">
      <c r="A110">
        <v>92</v>
      </c>
      <c r="B110" t="str">
        <v>Canal Asistidos</v>
      </c>
      <c r="C110" t="str">
        <v>Mapa</v>
      </c>
      <c r="D110" t="str">
        <v>MF-03880</v>
      </c>
      <c r="E110" t="str">
        <v>SPACE</v>
      </c>
      <c r="F110" t="str">
        <v>Ciberseguridad</v>
      </c>
      <c r="G110" t="str">
        <v>Integración</v>
      </c>
      <c r="H110" t="str">
        <v>Validación de las Url's de las aplicaciones externas a embeber en Space</v>
      </c>
      <c r="I110" t="str">
        <v>Técnica</v>
      </c>
      <c r="J110" t="str">
        <v>Alta</v>
      </c>
      <c r="K110" s="183">
        <v>46122</v>
      </c>
      <c r="L110" s="183">
        <v>0</v>
      </c>
      <c r="M110" s="188">
        <v>0</v>
      </c>
      <c r="N110">
        <v>0</v>
      </c>
      <c r="O110" t="str">
        <v>Sonia B.</v>
      </c>
      <c r="P110" t="b">
        <v>1</v>
      </c>
      <c r="Q110" t="str">
        <v>1.Identificada</v>
      </c>
      <c r="R110" t="str">
        <v>Canales Asistidos</v>
      </c>
      <c r="S110">
        <v>0</v>
      </c>
      <c r="T110" t="str">
        <v>S</v>
      </c>
    </row>
    <row r="111" spans="1:20">
      <c r="A111">
        <v>93</v>
      </c>
      <c r="B111" t="str">
        <v>Canal Asistidos</v>
      </c>
      <c r="C111" t="str">
        <v>Mapa</v>
      </c>
      <c r="D111" t="str">
        <v>MF-03840</v>
      </c>
      <c r="E111" t="str">
        <v>SPACE</v>
      </c>
      <c r="F111" t="str">
        <v>Digital</v>
      </c>
      <c r="G111" t="str">
        <v>Integración web asistidos</v>
      </c>
      <c r="H111" t="str">
        <v xml:space="preserve">Integración de la web asistidos </v>
      </c>
      <c r="I111" t="str">
        <v>Técnica</v>
      </c>
      <c r="J111" t="str">
        <v>Alta</v>
      </c>
      <c r="K111" s="183">
        <v>46199</v>
      </c>
      <c r="L111" s="183">
        <v>0</v>
      </c>
      <c r="M111" s="188">
        <v>0</v>
      </c>
      <c r="N111">
        <v>0</v>
      </c>
      <c r="O111" t="str">
        <v>Sonia B.</v>
      </c>
      <c r="P111" t="b">
        <v>1</v>
      </c>
      <c r="Q111" t="str">
        <v>1.Identificada</v>
      </c>
      <c r="R111" t="str">
        <v>Canales Asistidos</v>
      </c>
      <c r="S111">
        <v>0</v>
      </c>
      <c r="T111" t="str">
        <v>N</v>
      </c>
    </row>
    <row r="112" spans="1:20">
      <c r="A112">
        <v>94</v>
      </c>
      <c r="B112" t="str">
        <v>Canal Asistidos</v>
      </c>
      <c r="C112" t="str">
        <v>Mapa</v>
      </c>
      <c r="D112" t="str">
        <v>MF-03790</v>
      </c>
      <c r="E112" t="str">
        <v>Cyberfinancial</v>
      </c>
      <c r="F112" t="str">
        <v>Bantotal</v>
      </c>
      <c r="G112" t="str">
        <v>Data de prestamos</v>
      </c>
      <c r="H112" t="str">
        <v>Generacion de UDA 1 y 2 para envio informacion Préstamos (UAT)</v>
      </c>
      <c r="I112" t="str">
        <v>Técnica</v>
      </c>
      <c r="J112" t="str">
        <v>Alta</v>
      </c>
      <c r="K112" s="183">
        <v>46204</v>
      </c>
      <c r="L112" s="183">
        <v>0</v>
      </c>
      <c r="M112" s="188" t="str">
        <v>TBD</v>
      </c>
      <c r="N112">
        <v>0</v>
      </c>
      <c r="O112" t="str">
        <v>Sonia B.</v>
      </c>
      <c r="P112" t="b">
        <v>1</v>
      </c>
      <c r="Q112" t="str">
        <v>4.Resuelta</v>
      </c>
      <c r="R112" t="str">
        <v>Canales Asistidos</v>
      </c>
      <c r="S112">
        <v>0</v>
      </c>
      <c r="T112" t="str">
        <v>N</v>
      </c>
    </row>
    <row r="113" spans="1:20">
      <c r="A113">
        <v>95</v>
      </c>
      <c r="B113" t="str">
        <v>Canal Asistidos</v>
      </c>
      <c r="C113" t="str">
        <v>Mapa</v>
      </c>
      <c r="D113" t="str">
        <v>MF-03790</v>
      </c>
      <c r="E113" t="str">
        <v>Cyberfinancial</v>
      </c>
      <c r="F113" t="str">
        <v>Ciberseguridad</v>
      </c>
      <c r="G113" t="str">
        <v>Comunicación entre DEV local y PRE ODS</v>
      </c>
      <c r="H113" t="str">
        <v>Comunicacíón entre ambientes para probra el SFTP a ser utilizado en la carga diaria y One Shot</v>
      </c>
      <c r="I113" t="str">
        <v>Técnica</v>
      </c>
      <c r="J113" t="str">
        <v>Alta</v>
      </c>
      <c r="K113" s="183">
        <v>46104</v>
      </c>
      <c r="L113" s="183">
        <v>0</v>
      </c>
      <c r="M113" s="188" t="str">
        <v>TBD</v>
      </c>
      <c r="N113">
        <v>0</v>
      </c>
      <c r="O113" t="str">
        <v>Sonia B.</v>
      </c>
      <c r="P113" t="b">
        <v>1</v>
      </c>
      <c r="Q113" t="str">
        <v>4.Resuelta</v>
      </c>
      <c r="R113" t="str">
        <v>Canales Asistidos</v>
      </c>
      <c r="S113">
        <v>0</v>
      </c>
      <c r="T113" t="str">
        <v>S</v>
      </c>
    </row>
    <row r="114" spans="1:20">
      <c r="A114">
        <v>96</v>
      </c>
      <c r="B114" t="str">
        <v>Canal Asistidos</v>
      </c>
      <c r="C114" t="str">
        <v>Mapa</v>
      </c>
      <c r="D114" t="str">
        <v>MF-03780</v>
      </c>
      <c r="E114" t="str">
        <v>Cyberfinancial</v>
      </c>
      <c r="F114" t="str">
        <v>Bantotal</v>
      </c>
      <c r="G114" t="str">
        <v>Data de prestamos</v>
      </c>
      <c r="H114" t="str">
        <v>Generacion de UDA 1 y 2 para envio informacion Préstamos (UAT)</v>
      </c>
      <c r="I114" t="str">
        <v>Técnica</v>
      </c>
      <c r="J114" t="str">
        <v>Alta</v>
      </c>
      <c r="K114" s="183">
        <v>46204</v>
      </c>
      <c r="L114" s="183">
        <v>0</v>
      </c>
      <c r="M114" s="188" t="str">
        <v>TBD</v>
      </c>
      <c r="N114">
        <v>0</v>
      </c>
      <c r="O114" t="str">
        <v>Sonia B.</v>
      </c>
      <c r="P114" t="b">
        <v>1</v>
      </c>
      <c r="Q114" t="str">
        <v>4.Resuelta</v>
      </c>
      <c r="R114" t="str">
        <v>Canales Asistidos</v>
      </c>
      <c r="S114">
        <v>0</v>
      </c>
      <c r="T114" t="str">
        <v>N</v>
      </c>
    </row>
    <row r="115" spans="1:20">
      <c r="A115">
        <v>97</v>
      </c>
      <c r="B115" t="str">
        <v>Canal Asistidos</v>
      </c>
      <c r="C115" t="str">
        <v>Mapa</v>
      </c>
      <c r="D115" t="str">
        <v>MF-03780</v>
      </c>
      <c r="E115" t="str">
        <v>Cyberfinancial</v>
      </c>
      <c r="F115" t="str">
        <v>Cards &amp; Payments</v>
      </c>
      <c r="G115" t="str">
        <v>Conciliación (TC)</v>
      </c>
      <c r="H115" t="str">
        <v>Generacion de UDA 6 para envio de informacion TC (UAT)</v>
      </c>
      <c r="I115" t="str">
        <v>Técnica</v>
      </c>
      <c r="J115" t="str">
        <v>Alta</v>
      </c>
      <c r="K115" s="183">
        <v>46204</v>
      </c>
      <c r="L115" s="183">
        <v>0</v>
      </c>
      <c r="M115" s="188" t="str">
        <v>TBD</v>
      </c>
      <c r="N115">
        <v>0</v>
      </c>
      <c r="O115" t="str">
        <v>Sonia B.</v>
      </c>
      <c r="P115" t="b">
        <v>1</v>
      </c>
      <c r="Q115" t="str">
        <v>4.Resuelta</v>
      </c>
      <c r="R115" t="str">
        <v>Canales Asistidos</v>
      </c>
      <c r="S115">
        <v>0</v>
      </c>
      <c r="T115" t="str">
        <v>N</v>
      </c>
    </row>
    <row r="116" spans="1:20">
      <c r="A116">
        <v>98</v>
      </c>
      <c r="B116" t="str">
        <v>Canal Asistidos</v>
      </c>
      <c r="C116" t="str">
        <v>Mapa</v>
      </c>
      <c r="D116" t="str">
        <v>MF-03780</v>
      </c>
      <c r="E116" t="str">
        <v>Cyberfinancial</v>
      </c>
      <c r="F116" t="str">
        <v>Ciberseguridad</v>
      </c>
      <c r="G116" t="str">
        <v>Comunicación entre DEV local y PRE ODS</v>
      </c>
      <c r="H116" t="str">
        <v>Comunicacíón entre ambientes para probra el SFTP a ser utilizado en la carga diaria y One Shot</v>
      </c>
      <c r="I116" t="str">
        <v>Técnica</v>
      </c>
      <c r="J116" t="str">
        <v>Alta</v>
      </c>
      <c r="K116" s="183">
        <v>46104</v>
      </c>
      <c r="L116" s="183">
        <v>0</v>
      </c>
      <c r="M116" s="188" t="str">
        <v>TBD</v>
      </c>
      <c r="N116">
        <v>0</v>
      </c>
      <c r="O116" t="str">
        <v>Sonia B.</v>
      </c>
      <c r="P116" t="b">
        <v>1</v>
      </c>
      <c r="Q116" t="str">
        <v>4.Resuelta</v>
      </c>
      <c r="R116" t="str">
        <v>Canales Asistidos</v>
      </c>
      <c r="S116">
        <v>0</v>
      </c>
      <c r="T116" t="str">
        <v>S</v>
      </c>
    </row>
    <row r="117" spans="1:20">
      <c r="A117">
        <v>99</v>
      </c>
      <c r="B117" t="str">
        <v>Canal Asistidos</v>
      </c>
      <c r="C117" t="str">
        <v>Mapa</v>
      </c>
      <c r="D117" t="str">
        <v>MF-03790</v>
      </c>
      <c r="E117" t="str">
        <v>Cyberfinancial</v>
      </c>
      <c r="F117" t="str">
        <v>Data</v>
      </c>
      <c r="G117" t="str">
        <v>Data de prestamos</v>
      </c>
      <c r="H117" t="str">
        <v>Generacion de UDA 1 y 2 para envio informacion Préstamos (UAT)</v>
      </c>
      <c r="I117" t="str">
        <v>Técnica</v>
      </c>
      <c r="J117" t="str">
        <v>Alta</v>
      </c>
      <c r="K117" s="183">
        <v>46204</v>
      </c>
      <c r="L117" s="183">
        <v>0</v>
      </c>
      <c r="M117" s="188" t="str">
        <v>TBD</v>
      </c>
      <c r="N117">
        <v>0</v>
      </c>
      <c r="O117" t="str">
        <v>Sonia B.</v>
      </c>
      <c r="P117" t="b">
        <v>1</v>
      </c>
      <c r="Q117" t="str">
        <v>2.Solicitada</v>
      </c>
      <c r="R117" t="str">
        <v>Canales Asistidos</v>
      </c>
      <c r="S117">
        <v>0</v>
      </c>
      <c r="T117" t="str">
        <v>N</v>
      </c>
    </row>
    <row r="118" spans="1:20">
      <c r="A118">
        <v>100</v>
      </c>
      <c r="B118" t="str">
        <v>Canal Asistidos</v>
      </c>
      <c r="C118" t="str">
        <v>Mapa</v>
      </c>
      <c r="D118" t="str">
        <v>MF-03780</v>
      </c>
      <c r="E118" t="str">
        <v>Cyberfinancial</v>
      </c>
      <c r="F118" t="str">
        <v>Data</v>
      </c>
      <c r="G118" t="str">
        <v>Data de prestamos</v>
      </c>
      <c r="H118" t="str">
        <v>Generacion de UDA 1 y 2 para envio informacion Préstamos (UAT)</v>
      </c>
      <c r="I118" t="str">
        <v>Técnica</v>
      </c>
      <c r="J118" t="str">
        <v>Alta</v>
      </c>
      <c r="K118" s="183">
        <v>46204</v>
      </c>
      <c r="L118" s="183">
        <v>0</v>
      </c>
      <c r="M118" s="188" t="str">
        <v>TBD</v>
      </c>
      <c r="N118">
        <v>0</v>
      </c>
      <c r="O118" t="str">
        <v>Sonia B.</v>
      </c>
      <c r="P118" t="b">
        <v>1</v>
      </c>
      <c r="Q118" t="str">
        <v>2.Solicitada</v>
      </c>
      <c r="R118" t="str">
        <v>Canales Asistidos</v>
      </c>
      <c r="S118">
        <v>0</v>
      </c>
      <c r="T118" t="str">
        <v>N</v>
      </c>
    </row>
    <row r="119" spans="1:20">
      <c r="A119">
        <v>101</v>
      </c>
      <c r="B119" t="str">
        <v>Canal Asistidos</v>
      </c>
      <c r="C119" t="str">
        <v>Mapa</v>
      </c>
      <c r="D119" t="str">
        <v>MF-03770</v>
      </c>
      <c r="E119" t="str">
        <v>Cyberfinancial</v>
      </c>
      <c r="F119" t="str">
        <v>Data</v>
      </c>
      <c r="G119" t="str">
        <v>Data de prestamos</v>
      </c>
      <c r="H119" t="str">
        <v>Generacion de UDA 1 y 2 para envio informacion Préstamos (UAT)</v>
      </c>
      <c r="I119" t="str">
        <v>Técnica</v>
      </c>
      <c r="J119" t="str">
        <v>Alta</v>
      </c>
      <c r="K119" s="183">
        <v>46204</v>
      </c>
      <c r="L119" s="183">
        <v>0</v>
      </c>
      <c r="M119" s="188" t="str">
        <v>TBD</v>
      </c>
      <c r="N119">
        <v>0</v>
      </c>
      <c r="O119" t="str">
        <v>Sonia B.</v>
      </c>
      <c r="P119" t="b">
        <v>1</v>
      </c>
      <c r="Q119" t="str">
        <v>2.Solicitada</v>
      </c>
      <c r="R119" t="str">
        <v>Canales Asistidos</v>
      </c>
      <c r="S119">
        <v>0</v>
      </c>
      <c r="T119" t="str">
        <v>N</v>
      </c>
    </row>
    <row r="120" spans="1:20">
      <c r="A120">
        <v>102</v>
      </c>
      <c r="B120" t="str">
        <v>Canal Asistidos</v>
      </c>
      <c r="C120" t="str">
        <v>Mapa</v>
      </c>
      <c r="D120" t="str">
        <v>MF-03760</v>
      </c>
      <c r="E120" t="str">
        <v>Cyberfinancial</v>
      </c>
      <c r="F120" t="str">
        <v>Data</v>
      </c>
      <c r="G120" t="str">
        <v>Data de prestamos</v>
      </c>
      <c r="H120" t="str">
        <v>Generacion de UDA 1 y 2 para envio informacion Préstamos (UAT)</v>
      </c>
      <c r="I120" t="str">
        <v>Técnica</v>
      </c>
      <c r="J120" t="str">
        <v>Alta</v>
      </c>
      <c r="K120" s="183">
        <v>46204</v>
      </c>
      <c r="L120" s="183">
        <v>0</v>
      </c>
      <c r="M120" s="188" t="str">
        <v>TBD</v>
      </c>
      <c r="N120">
        <v>0</v>
      </c>
      <c r="O120" t="str">
        <v>Sonia B.</v>
      </c>
      <c r="P120" t="b">
        <v>1</v>
      </c>
      <c r="Q120" t="str">
        <v>2.Solicitada</v>
      </c>
      <c r="R120" t="str">
        <v>Canales Asistidos</v>
      </c>
      <c r="S120">
        <v>0</v>
      </c>
      <c r="T120" t="str">
        <v>N</v>
      </c>
    </row>
    <row r="121" spans="1:20">
      <c r="A121">
        <v>103</v>
      </c>
      <c r="B121" t="str">
        <v>Canal Asistidos</v>
      </c>
      <c r="C121" t="str">
        <v>Mapa</v>
      </c>
      <c r="D121" t="str">
        <v>MF-03750</v>
      </c>
      <c r="E121" t="str">
        <v>Cyberfinancial</v>
      </c>
      <c r="F121" t="str">
        <v>Data</v>
      </c>
      <c r="G121" t="str">
        <v>Data de prestamos</v>
      </c>
      <c r="H121" t="str">
        <v>Generacion de UDA 1 y 2 para envio informacion Préstamos (UAT)</v>
      </c>
      <c r="I121" t="str">
        <v>Técnica</v>
      </c>
      <c r="J121" t="str">
        <v>Alta</v>
      </c>
      <c r="K121" s="183">
        <v>46204</v>
      </c>
      <c r="L121" s="183">
        <v>0</v>
      </c>
      <c r="M121" s="188" t="str">
        <v>TBD</v>
      </c>
      <c r="N121">
        <v>0</v>
      </c>
      <c r="O121" t="str">
        <v>Sonia B.</v>
      </c>
      <c r="P121" t="b">
        <v>1</v>
      </c>
      <c r="Q121" t="str">
        <v>2.Solicitada</v>
      </c>
      <c r="R121" t="str">
        <v>Canales Asistidos</v>
      </c>
      <c r="S121">
        <v>0</v>
      </c>
      <c r="T121" t="str">
        <v>N</v>
      </c>
    </row>
    <row r="122" spans="1:20">
      <c r="A122">
        <v>104</v>
      </c>
      <c r="B122" t="str">
        <v>Canal Asistidos</v>
      </c>
      <c r="C122" t="str">
        <v>Mapa</v>
      </c>
      <c r="D122" t="str">
        <v>MF-03770</v>
      </c>
      <c r="E122" t="str">
        <v>Cyberfinancial</v>
      </c>
      <c r="F122" t="str">
        <v>Bantotal</v>
      </c>
      <c r="G122" t="str">
        <v>Data de prestamos</v>
      </c>
      <c r="H122" t="str">
        <v>Generacion de UDA 1 y 2 para envio informacion Préstamos (UAT)</v>
      </c>
      <c r="I122" t="str">
        <v>Técnica</v>
      </c>
      <c r="J122" t="str">
        <v>Alta</v>
      </c>
      <c r="K122" s="183">
        <v>46204</v>
      </c>
      <c r="L122" s="183">
        <v>0</v>
      </c>
      <c r="M122" s="188" t="str">
        <v>TBD</v>
      </c>
      <c r="N122">
        <v>0</v>
      </c>
      <c r="O122" t="str">
        <v>Sonia B.</v>
      </c>
      <c r="P122" t="b">
        <v>1</v>
      </c>
      <c r="Q122" t="str">
        <v>4.Resuelta</v>
      </c>
      <c r="R122" t="str">
        <v>Canales Asistidos</v>
      </c>
      <c r="S122">
        <v>0</v>
      </c>
      <c r="T122" t="str">
        <v>N</v>
      </c>
    </row>
    <row r="123" spans="1:20">
      <c r="A123">
        <v>105</v>
      </c>
      <c r="B123" t="str">
        <v>Canal Asistidos</v>
      </c>
      <c r="C123" t="str">
        <v>Mapa</v>
      </c>
      <c r="D123" t="str">
        <v>MF-03770</v>
      </c>
      <c r="E123" t="str">
        <v>Cyberfinancial</v>
      </c>
      <c r="F123" t="str">
        <v>Cards &amp; Payments</v>
      </c>
      <c r="G123" t="str">
        <v>Conciliación (TC)</v>
      </c>
      <c r="H123" t="str">
        <v>Generacion de UDA 6 para envio de informacion TC (UAT)</v>
      </c>
      <c r="I123" t="str">
        <v>Técnica</v>
      </c>
      <c r="J123" t="str">
        <v>Alta</v>
      </c>
      <c r="K123" s="183">
        <v>46204</v>
      </c>
      <c r="L123" s="183">
        <v>0</v>
      </c>
      <c r="M123" s="188" t="str">
        <v>TBD</v>
      </c>
      <c r="N123">
        <v>0</v>
      </c>
      <c r="O123" t="str">
        <v>Sonia B.</v>
      </c>
      <c r="P123" t="b">
        <v>1</v>
      </c>
      <c r="Q123" t="str">
        <v>4.Resuelta</v>
      </c>
      <c r="R123" t="str">
        <v>Canales Asistidos</v>
      </c>
      <c r="S123">
        <v>0</v>
      </c>
      <c r="T123" t="str">
        <v>N</v>
      </c>
    </row>
    <row r="124" spans="1:20">
      <c r="A124">
        <v>106</v>
      </c>
      <c r="B124" t="str">
        <v>Canal Asistidos</v>
      </c>
      <c r="C124" t="str">
        <v>Mapa</v>
      </c>
      <c r="D124" t="str">
        <v>MF-03770</v>
      </c>
      <c r="E124" t="str">
        <v>Cyberfinancial</v>
      </c>
      <c r="F124" t="str">
        <v>Ciberseguridad</v>
      </c>
      <c r="G124" t="str">
        <v>Comunicación entre DEV local y PRE ODS</v>
      </c>
      <c r="H124" t="str">
        <v>Comunicacíón entre ambientes para probra el SFTP a ser utilizado en la carga diaria y One Shot</v>
      </c>
      <c r="I124" t="str">
        <v>Técnica</v>
      </c>
      <c r="J124" t="str">
        <v>Alta</v>
      </c>
      <c r="K124" s="183">
        <v>46104</v>
      </c>
      <c r="L124" s="183">
        <v>0</v>
      </c>
      <c r="M124" s="188" t="str">
        <v>TBD</v>
      </c>
      <c r="N124">
        <v>0</v>
      </c>
      <c r="O124" t="str">
        <v>Sonia B.</v>
      </c>
      <c r="P124" t="b">
        <v>1</v>
      </c>
      <c r="Q124" t="str">
        <v>4.Resuelta</v>
      </c>
      <c r="R124" t="str">
        <v>Canales Asistidos</v>
      </c>
      <c r="S124">
        <v>0</v>
      </c>
      <c r="T124" t="str">
        <v>S</v>
      </c>
    </row>
    <row r="125" spans="1:20">
      <c r="A125">
        <v>107</v>
      </c>
      <c r="B125" t="str">
        <v>Canal Asistidos</v>
      </c>
      <c r="C125" t="str">
        <v>Mapa</v>
      </c>
      <c r="D125" t="str">
        <v>MF-03760</v>
      </c>
      <c r="E125" t="str">
        <v>Cyberfinancial</v>
      </c>
      <c r="F125" t="str">
        <v>Bantotal</v>
      </c>
      <c r="G125" t="str">
        <v>Data de prestamos</v>
      </c>
      <c r="H125" t="str">
        <v>Generacion de UDA 1 y 2 para envio informacion Préstamos (UAT)</v>
      </c>
      <c r="I125" t="str">
        <v>Técnica</v>
      </c>
      <c r="J125" t="str">
        <v>Alta</v>
      </c>
      <c r="K125" s="183">
        <v>46204</v>
      </c>
      <c r="L125" s="183">
        <v>0</v>
      </c>
      <c r="M125" s="188" t="str">
        <v>TBD</v>
      </c>
      <c r="N125">
        <v>0</v>
      </c>
      <c r="O125" t="str">
        <v>Sonia B.</v>
      </c>
      <c r="P125" t="b">
        <v>1</v>
      </c>
      <c r="Q125" t="str">
        <v>4.Resuelta</v>
      </c>
      <c r="R125" t="str">
        <v>Canales Asistidos</v>
      </c>
      <c r="S125">
        <v>0</v>
      </c>
      <c r="T125" t="str">
        <v>N</v>
      </c>
    </row>
    <row r="126" spans="1:20">
      <c r="A126">
        <v>108</v>
      </c>
      <c r="B126" t="str">
        <v>Canal Asistidos</v>
      </c>
      <c r="C126" t="str">
        <v>Mapa</v>
      </c>
      <c r="D126" t="str">
        <v>MF-03780</v>
      </c>
      <c r="E126" t="str">
        <v>Cyberfinancial</v>
      </c>
      <c r="F126" t="str">
        <v>Data</v>
      </c>
      <c r="G126" t="str">
        <v>Conciliación (TC)</v>
      </c>
      <c r="H126" t="str">
        <v>Generacion de UDA 6 para envio de informacion TC (UAT)</v>
      </c>
      <c r="I126" t="str">
        <v>Técnica</v>
      </c>
      <c r="J126" t="str">
        <v>Alta</v>
      </c>
      <c r="K126" s="183">
        <v>46204</v>
      </c>
      <c r="L126" s="183">
        <v>0</v>
      </c>
      <c r="M126" s="188" t="str">
        <v>TBD</v>
      </c>
      <c r="N126">
        <v>0</v>
      </c>
      <c r="O126" t="str">
        <v>Sonia B.</v>
      </c>
      <c r="P126" t="b">
        <v>1</v>
      </c>
      <c r="Q126" t="str">
        <v>2.Solicitada</v>
      </c>
      <c r="R126" t="str">
        <v>Canales Asistidos</v>
      </c>
      <c r="S126">
        <v>0</v>
      </c>
      <c r="T126" t="str">
        <v>N</v>
      </c>
    </row>
    <row r="127" spans="1:20">
      <c r="A127">
        <v>109</v>
      </c>
      <c r="B127" t="str">
        <v>Canal Asistidos</v>
      </c>
      <c r="C127" t="str">
        <v>Mapa</v>
      </c>
      <c r="D127" t="str">
        <v>MF-03770</v>
      </c>
      <c r="E127" t="str">
        <v>Cyberfinancial</v>
      </c>
      <c r="F127" t="str">
        <v>Data</v>
      </c>
      <c r="G127" t="str">
        <v>Conciliación (TC)</v>
      </c>
      <c r="H127" t="str">
        <v>Generacion de UDA 6 para envio de informacion TC (UAT)</v>
      </c>
      <c r="I127" t="str">
        <v>Técnica</v>
      </c>
      <c r="J127" t="str">
        <v>Alta</v>
      </c>
      <c r="K127" s="183">
        <v>46204</v>
      </c>
      <c r="L127" s="183">
        <v>0</v>
      </c>
      <c r="M127" s="188" t="str">
        <v>TBD</v>
      </c>
      <c r="N127">
        <v>0</v>
      </c>
      <c r="O127" t="str">
        <v>Sonia B.</v>
      </c>
      <c r="P127" t="b">
        <v>1</v>
      </c>
      <c r="Q127" t="str">
        <v>2.Solicitada</v>
      </c>
      <c r="R127" t="str">
        <v>Canales Asistidos</v>
      </c>
      <c r="S127">
        <v>0</v>
      </c>
      <c r="T127" t="str">
        <v>N</v>
      </c>
    </row>
    <row r="128" spans="1:20">
      <c r="A128">
        <v>110</v>
      </c>
      <c r="B128" t="str">
        <v>Canal Asistidos</v>
      </c>
      <c r="C128" t="str">
        <v>Mapa</v>
      </c>
      <c r="D128" t="str">
        <v>MF-03750</v>
      </c>
      <c r="E128" t="str">
        <v>Cyberfinancial</v>
      </c>
      <c r="F128" t="str">
        <v>Data</v>
      </c>
      <c r="G128" t="str">
        <v>Conciliación (TC)</v>
      </c>
      <c r="H128" t="str">
        <v>Generacion de UDA 6 para envio de informacion TC (UAT)</v>
      </c>
      <c r="I128" t="str">
        <v>Técnica</v>
      </c>
      <c r="J128" t="str">
        <v>Alta</v>
      </c>
      <c r="K128" s="183">
        <v>46204</v>
      </c>
      <c r="L128" s="183">
        <v>0</v>
      </c>
      <c r="M128" s="188" t="str">
        <v>TBD</v>
      </c>
      <c r="N128">
        <v>0</v>
      </c>
      <c r="O128" t="str">
        <v>Sonia B.</v>
      </c>
      <c r="P128" t="b">
        <v>1</v>
      </c>
      <c r="Q128" t="str">
        <v>2.Solicitada</v>
      </c>
      <c r="R128" t="str">
        <v>Canales Asistidos</v>
      </c>
      <c r="S128">
        <v>0</v>
      </c>
      <c r="T128" t="str">
        <v>N</v>
      </c>
    </row>
    <row r="129" spans="1:20">
      <c r="A129">
        <v>111</v>
      </c>
      <c r="B129" t="str">
        <v>Canal Asistidos</v>
      </c>
      <c r="C129" t="str">
        <v>Mapa</v>
      </c>
      <c r="D129" t="str">
        <v>MF-03750</v>
      </c>
      <c r="E129" t="str">
        <v>Cyberfinancial</v>
      </c>
      <c r="F129" t="str">
        <v>Cards &amp; Payments</v>
      </c>
      <c r="G129" t="str">
        <v>Conciliación (TC)</v>
      </c>
      <c r="H129" t="str">
        <v>Generacion de UDA 6 para envio de informacion TC (UAT)</v>
      </c>
      <c r="I129" t="str">
        <v>Técnica</v>
      </c>
      <c r="J129" t="str">
        <v>Alta</v>
      </c>
      <c r="K129" s="183">
        <v>46204</v>
      </c>
      <c r="L129" s="183">
        <v>0</v>
      </c>
      <c r="M129" s="188" t="str">
        <v>TBD</v>
      </c>
      <c r="N129">
        <v>0</v>
      </c>
      <c r="O129" t="str">
        <v>Sonia B.</v>
      </c>
      <c r="P129" t="b">
        <v>1</v>
      </c>
      <c r="Q129" t="str">
        <v>4.Resuelta</v>
      </c>
      <c r="R129" t="str">
        <v>Canales Asistidos</v>
      </c>
      <c r="S129">
        <v>0</v>
      </c>
      <c r="T129" t="str">
        <v>N</v>
      </c>
    </row>
    <row r="130" spans="1:20">
      <c r="A130">
        <v>112</v>
      </c>
      <c r="B130" t="str">
        <v>Canal Asistidos</v>
      </c>
      <c r="C130" t="str">
        <v>Mapa</v>
      </c>
      <c r="D130" t="str">
        <v>MF-03750</v>
      </c>
      <c r="E130" t="str">
        <v>Cyberfinancial</v>
      </c>
      <c r="F130" t="str">
        <v>Ciberseguridad</v>
      </c>
      <c r="G130" t="str">
        <v>Comunicación entre DEV local y PRE ODS</v>
      </c>
      <c r="H130" t="str">
        <v>Comunicacíón entre ambientes para probra el SFTP a ser utilizado en la carga diaria y One Shot</v>
      </c>
      <c r="I130" t="str">
        <v>Técnica</v>
      </c>
      <c r="J130" t="str">
        <v>Alta</v>
      </c>
      <c r="K130" s="183">
        <v>46104</v>
      </c>
      <c r="L130" s="183">
        <v>0</v>
      </c>
      <c r="M130" s="188" t="str">
        <v>TBD</v>
      </c>
      <c r="N130">
        <v>0</v>
      </c>
      <c r="O130" t="str">
        <v>Sonia B.</v>
      </c>
      <c r="P130" t="b">
        <v>1</v>
      </c>
      <c r="Q130" t="str">
        <v>4.Resuelta</v>
      </c>
      <c r="R130" t="str">
        <v>Canales Asistidos</v>
      </c>
      <c r="S130">
        <v>0</v>
      </c>
      <c r="T130" t="str">
        <v>S</v>
      </c>
    </row>
    <row r="131" spans="1:20">
      <c r="A131">
        <v>113</v>
      </c>
      <c r="B131" t="str">
        <v>Canal Asistidos</v>
      </c>
      <c r="C131" t="str">
        <v>Mapa</v>
      </c>
      <c r="D131" t="str">
        <v>MF-03750</v>
      </c>
      <c r="E131" t="str">
        <v>Cyberfinancial</v>
      </c>
      <c r="F131" t="str">
        <v>Modellica</v>
      </c>
      <c r="G131" t="str">
        <v>Archivo LST - Estrategia de cobranzas</v>
      </c>
      <c r="H131" t="str">
        <v>Disponibilizar archivo LST para estrategia cobranzas (UAT)</v>
      </c>
      <c r="I131" t="str">
        <v>Técnica</v>
      </c>
      <c r="J131" t="str">
        <v>Alta</v>
      </c>
      <c r="K131" s="183">
        <v>46204</v>
      </c>
      <c r="L131" s="183">
        <v>0</v>
      </c>
      <c r="M131" s="188">
        <v>46310</v>
      </c>
      <c r="N131">
        <v>0</v>
      </c>
      <c r="O131" t="str">
        <v>Sonia B.</v>
      </c>
      <c r="P131" t="b">
        <v>1</v>
      </c>
      <c r="Q131" t="str">
        <v>2.Solicitada</v>
      </c>
      <c r="R131" t="str">
        <v>Canales Asistidos</v>
      </c>
      <c r="S131">
        <v>0</v>
      </c>
      <c r="T131" t="str">
        <v>N</v>
      </c>
    </row>
    <row r="132" spans="1:20">
      <c r="A132">
        <v>114</v>
      </c>
      <c r="B132" t="str">
        <v>Canal Asistidos</v>
      </c>
      <c r="C132" t="str">
        <v>Mapa</v>
      </c>
      <c r="D132" t="str">
        <v>MF-03750</v>
      </c>
      <c r="E132" t="str">
        <v>Cyberfinancial</v>
      </c>
      <c r="F132" t="str">
        <v>Bantotal</v>
      </c>
      <c r="G132" t="str">
        <v>Data de prestamos</v>
      </c>
      <c r="H132" t="str">
        <v>Generacion de UDA 1 y 2 para envio informacion Préstamos (UAT)</v>
      </c>
      <c r="I132" t="str">
        <v>Técnica</v>
      </c>
      <c r="J132" t="str">
        <v>Alta</v>
      </c>
      <c r="K132" s="183">
        <v>46204</v>
      </c>
      <c r="L132" s="183">
        <v>0</v>
      </c>
      <c r="M132" s="188" t="str">
        <v>TBD</v>
      </c>
      <c r="N132">
        <v>0</v>
      </c>
      <c r="O132" t="str">
        <v>Sonia B.</v>
      </c>
      <c r="P132" t="b">
        <v>1</v>
      </c>
      <c r="Q132" t="str">
        <v>4.Resuelta</v>
      </c>
      <c r="R132" t="str">
        <v>Canales Asistidos</v>
      </c>
      <c r="S132">
        <v>0</v>
      </c>
      <c r="T132" t="str">
        <v>N</v>
      </c>
    </row>
    <row r="133" spans="1:20">
      <c r="A133">
        <v>115</v>
      </c>
      <c r="B133" t="str">
        <v>Canal Asistidos</v>
      </c>
      <c r="C133" t="str">
        <v>Mapa</v>
      </c>
      <c r="D133" t="str">
        <v>MF-03740</v>
      </c>
      <c r="E133" t="str">
        <v>SPACE</v>
      </c>
      <c r="F133" t="str">
        <v>Negocio</v>
      </c>
      <c r="G133" t="str">
        <v>Definición de tipos de campañas</v>
      </c>
      <c r="H133" t="str">
        <v>Configuración de campañas para agente de servicio</v>
      </c>
      <c r="I133" t="str">
        <v>Funcional</v>
      </c>
      <c r="J133" t="str">
        <v>Medio</v>
      </c>
      <c r="K133" s="183">
        <v>46112</v>
      </c>
      <c r="L133" s="183">
        <v>0</v>
      </c>
      <c r="M133" s="188">
        <v>0</v>
      </c>
      <c r="N133">
        <v>0</v>
      </c>
      <c r="O133" t="str">
        <v>Sonia B.</v>
      </c>
      <c r="P133" t="b">
        <v>1</v>
      </c>
      <c r="Q133" t="str">
        <v>4.Resuelta</v>
      </c>
      <c r="R133" t="str">
        <v>Canales Asistidos</v>
      </c>
      <c r="S133" t="str">
        <v>Se cuenta con los tipos de campañas</v>
      </c>
      <c r="T133" t="str">
        <v>S</v>
      </c>
    </row>
    <row r="134" spans="1:20">
      <c r="A134">
        <v>116</v>
      </c>
      <c r="B134" t="str">
        <v>Canal Asistidos</v>
      </c>
      <c r="C134" t="str">
        <v>Mapa</v>
      </c>
      <c r="D134" t="str">
        <v>MF-03730</v>
      </c>
      <c r="E134" t="str">
        <v>SPACE</v>
      </c>
      <c r="F134" t="str">
        <v>Negocio</v>
      </c>
      <c r="G134" t="str">
        <v>Definición de tipos de campañas</v>
      </c>
      <c r="H134" t="str">
        <v>Configuración de campañas para agente de cobranza</v>
      </c>
      <c r="I134" t="str">
        <v>Funcional</v>
      </c>
      <c r="J134" t="str">
        <v>Medio</v>
      </c>
      <c r="K134" s="183">
        <v>46112</v>
      </c>
      <c r="L134" s="183">
        <v>0</v>
      </c>
      <c r="M134" s="188">
        <v>0</v>
      </c>
      <c r="N134">
        <v>0</v>
      </c>
      <c r="O134" t="str">
        <v>Sonia B.</v>
      </c>
      <c r="P134" t="b">
        <v>1</v>
      </c>
      <c r="Q134" t="str">
        <v>1.Identificada</v>
      </c>
      <c r="R134" t="str">
        <v>Canales Asistidos</v>
      </c>
      <c r="S134">
        <v>0</v>
      </c>
      <c r="T134" t="str">
        <v>S</v>
      </c>
    </row>
    <row r="135" spans="1:20">
      <c r="A135">
        <v>117</v>
      </c>
      <c r="B135" t="str">
        <v>Canal Asistidos</v>
      </c>
      <c r="C135" t="str">
        <v>Mapa</v>
      </c>
      <c r="D135" t="str">
        <v>MF-03450</v>
      </c>
      <c r="E135" t="str">
        <v>Cyberfinancial</v>
      </c>
      <c r="F135" t="str">
        <v>Modellica</v>
      </c>
      <c r="G135" t="str">
        <v>Archivo LST - Estrategia de cobranzas</v>
      </c>
      <c r="H135" t="str">
        <v>Disponibilizar archivo LST para estrategia cobranzas (UAT)</v>
      </c>
      <c r="I135" t="str">
        <v>Técnica</v>
      </c>
      <c r="J135" t="str">
        <v>Alta</v>
      </c>
      <c r="K135" s="183">
        <v>46204</v>
      </c>
      <c r="L135" s="183">
        <v>0</v>
      </c>
      <c r="M135" s="188">
        <v>46310</v>
      </c>
      <c r="N135">
        <v>0</v>
      </c>
      <c r="O135" t="str">
        <v>Sonia B.</v>
      </c>
      <c r="P135" t="b">
        <v>1</v>
      </c>
      <c r="Q135" t="str">
        <v>2.Solicitada</v>
      </c>
      <c r="R135" t="str">
        <v>Canales Asistidos</v>
      </c>
      <c r="S135">
        <v>0</v>
      </c>
      <c r="T135" t="str">
        <v>N</v>
      </c>
    </row>
    <row r="136" spans="1:20">
      <c r="A136">
        <v>118</v>
      </c>
      <c r="B136" t="str">
        <v>Canal Asistidos</v>
      </c>
      <c r="C136" t="str">
        <v>Mapa</v>
      </c>
      <c r="D136" t="str">
        <v>MF-03440</v>
      </c>
      <c r="E136" t="str">
        <v>SPACE</v>
      </c>
      <c r="F136" t="str">
        <v>Negocio</v>
      </c>
      <c r="G136" t="str">
        <v>Definir los roles para contact center</v>
      </c>
      <c r="H136" t="str">
        <v>Configuracion de Roles Genesys cloud</v>
      </c>
      <c r="I136" t="str">
        <v>Funcional</v>
      </c>
      <c r="J136" t="str">
        <v>Medio</v>
      </c>
      <c r="K136" s="183">
        <v>46112</v>
      </c>
      <c r="L136" s="183">
        <v>0</v>
      </c>
      <c r="M136" s="188">
        <v>0</v>
      </c>
      <c r="N136">
        <v>0</v>
      </c>
      <c r="O136" t="str">
        <v>Sonia B.</v>
      </c>
      <c r="P136" t="b">
        <v>1</v>
      </c>
      <c r="Q136" t="str">
        <v>4.Resuelta</v>
      </c>
      <c r="R136" t="str">
        <v>Canales Asistidos</v>
      </c>
      <c r="S136">
        <v>0</v>
      </c>
      <c r="T136" t="str">
        <v>S</v>
      </c>
    </row>
    <row r="137" spans="1:20">
      <c r="A137">
        <v>119</v>
      </c>
      <c r="B137" t="str">
        <v>Canal Asistidos</v>
      </c>
      <c r="C137" t="str">
        <v>Mapa</v>
      </c>
      <c r="D137" t="str">
        <v>MF-03430</v>
      </c>
      <c r="E137" t="str">
        <v>SPACE</v>
      </c>
      <c r="F137" t="str">
        <v>Negocio</v>
      </c>
      <c r="G137" t="str">
        <v>Definir los roles para contact center</v>
      </c>
      <c r="H137" t="str">
        <v>Configuracion de Roles Contact Center</v>
      </c>
      <c r="I137" t="str">
        <v>Funcional</v>
      </c>
      <c r="J137" t="str">
        <v>Medio</v>
      </c>
      <c r="K137" s="183">
        <v>46112</v>
      </c>
      <c r="L137" s="183">
        <v>0</v>
      </c>
      <c r="M137" s="188">
        <v>0</v>
      </c>
      <c r="N137">
        <v>0</v>
      </c>
      <c r="O137" t="str">
        <v>Sonia B.</v>
      </c>
      <c r="P137" t="b">
        <v>1</v>
      </c>
      <c r="Q137" t="str">
        <v>4.Resuelta</v>
      </c>
      <c r="R137" t="str">
        <v>Canales Asistidos</v>
      </c>
      <c r="S137">
        <v>0</v>
      </c>
      <c r="T137" t="str">
        <v>S</v>
      </c>
    </row>
    <row r="138" spans="1:20">
      <c r="A138">
        <v>120</v>
      </c>
      <c r="B138" t="str">
        <v>Canal Asistidos</v>
      </c>
      <c r="C138" t="str">
        <v>Mapa</v>
      </c>
      <c r="D138" t="str">
        <v>MF-03420</v>
      </c>
      <c r="E138" t="str">
        <v>SPACE</v>
      </c>
      <c r="F138" t="str">
        <v>Negocio</v>
      </c>
      <c r="G138" t="str">
        <v>Definir los roles para agencias</v>
      </c>
      <c r="H138" t="str">
        <v>Configuracion de Roles Agencias</v>
      </c>
      <c r="I138" t="str">
        <v>Funcional</v>
      </c>
      <c r="J138" t="str">
        <v>Medio</v>
      </c>
      <c r="K138" s="183">
        <v>46112</v>
      </c>
      <c r="L138" s="183">
        <v>0</v>
      </c>
      <c r="M138" s="188">
        <v>0</v>
      </c>
      <c r="N138">
        <v>0</v>
      </c>
      <c r="O138" t="str">
        <v>Sonia B.</v>
      </c>
      <c r="P138" t="b">
        <v>1</v>
      </c>
      <c r="Q138" t="str">
        <v>4.Resuelta</v>
      </c>
      <c r="R138" t="str">
        <v>Canales Asistidos</v>
      </c>
      <c r="S138">
        <v>0</v>
      </c>
      <c r="T138" t="str">
        <v>S</v>
      </c>
    </row>
    <row r="139" spans="1:20">
      <c r="A139">
        <v>121</v>
      </c>
      <c r="B139" t="str">
        <v>Canal Asistidos</v>
      </c>
      <c r="C139" t="str">
        <v>Mapa</v>
      </c>
      <c r="D139" t="str">
        <v>MF-03410</v>
      </c>
      <c r="E139" t="str">
        <v>SPACE</v>
      </c>
      <c r="F139" t="str">
        <v>Negocio</v>
      </c>
      <c r="G139" t="str">
        <v>Definición de segmentos de cliente</v>
      </c>
      <c r="H139" t="str">
        <v>Confirmar los segmentos para que se derive a las colas de asesores dentro de la integración con IVR</v>
      </c>
      <c r="I139" t="str">
        <v>Técnica</v>
      </c>
      <c r="J139" t="str">
        <v>Medio</v>
      </c>
      <c r="K139" s="183">
        <v>46241</v>
      </c>
      <c r="L139" s="183">
        <v>0</v>
      </c>
      <c r="M139" s="188">
        <v>0</v>
      </c>
      <c r="N139">
        <v>0</v>
      </c>
      <c r="O139" t="str">
        <v>Sonia B.</v>
      </c>
      <c r="P139" t="b">
        <v>1</v>
      </c>
      <c r="Q139" t="str">
        <v>4.Resuelta</v>
      </c>
      <c r="R139" t="str">
        <v>Canales Asistidos</v>
      </c>
      <c r="S139">
        <v>0</v>
      </c>
      <c r="T139" t="str">
        <v>N</v>
      </c>
    </row>
    <row r="140" spans="1:20">
      <c r="A140">
        <v>122</v>
      </c>
      <c r="B140" t="str">
        <v>Canal Asistidos</v>
      </c>
      <c r="C140" t="str">
        <v>Mapa</v>
      </c>
      <c r="D140" t="str">
        <v>MF-03400</v>
      </c>
      <c r="E140" t="str">
        <v>SPACE</v>
      </c>
      <c r="F140" t="str">
        <v>Data</v>
      </c>
      <c r="G140" t="str">
        <v>Definir la información que se requiere enviar al Datalake</v>
      </c>
      <c r="H140" t="str">
        <v>Configuracion de reportes Contact Center</v>
      </c>
      <c r="I140" t="str">
        <v>Funcional</v>
      </c>
      <c r="J140" t="str">
        <v>Medio</v>
      </c>
      <c r="K140" s="183">
        <v>46199</v>
      </c>
      <c r="L140" s="183">
        <v>0</v>
      </c>
      <c r="M140" s="188">
        <v>0</v>
      </c>
      <c r="N140">
        <v>0</v>
      </c>
      <c r="O140" t="str">
        <v>Sonia B.</v>
      </c>
      <c r="P140" t="b">
        <v>1</v>
      </c>
      <c r="Q140" t="str">
        <v>1.Identificada</v>
      </c>
      <c r="R140" t="str">
        <v>Canales Asistidos</v>
      </c>
      <c r="S140">
        <v>0</v>
      </c>
      <c r="T140" t="str">
        <v>N</v>
      </c>
    </row>
    <row r="141" spans="1:20">
      <c r="A141">
        <v>123</v>
      </c>
      <c r="B141" t="str">
        <v>Canal Asistidos</v>
      </c>
      <c r="C141" t="str">
        <v>Mapa</v>
      </c>
      <c r="D141" t="str">
        <v>MF-03390</v>
      </c>
      <c r="E141" t="str">
        <v>SPACE</v>
      </c>
      <c r="F141" t="str">
        <v>Data</v>
      </c>
      <c r="G141" t="str">
        <v>Definir la información que se requiere enviar al Datalake</v>
      </c>
      <c r="H141" t="str">
        <v>Configuracion de reportes Agencia</v>
      </c>
      <c r="I141" t="str">
        <v>Funcional</v>
      </c>
      <c r="J141" t="str">
        <v>Medio</v>
      </c>
      <c r="K141" s="183">
        <v>46199</v>
      </c>
      <c r="L141" s="183">
        <v>0</v>
      </c>
      <c r="M141" s="188">
        <v>0</v>
      </c>
      <c r="N141">
        <v>0</v>
      </c>
      <c r="O141" t="str">
        <v>Sonia B.</v>
      </c>
      <c r="P141" t="b">
        <v>1</v>
      </c>
      <c r="Q141" t="str">
        <v>1.Identificada</v>
      </c>
      <c r="R141" t="str">
        <v>Canales Asistidos</v>
      </c>
      <c r="S141">
        <v>0</v>
      </c>
      <c r="T141" t="str">
        <v>N</v>
      </c>
    </row>
    <row r="142" spans="1:20">
      <c r="A142">
        <v>124</v>
      </c>
      <c r="B142" t="str">
        <v>Canal Asistidos</v>
      </c>
      <c r="C142" t="str">
        <v>Mapa</v>
      </c>
      <c r="D142" t="str">
        <v>MF-03380</v>
      </c>
      <c r="E142" t="str">
        <v>Reclamos y Dalis</v>
      </c>
      <c r="F142" t="str">
        <v>Izipay</v>
      </c>
      <c r="G142" t="str">
        <v>Integración &amp; Conectividad</v>
      </c>
      <c r="H142" t="str">
        <v>Integración tipo batch para la comunicación entre IZIPAY y BANTOTAL para el sistema de reclamos y DALIs – canal Contact Center</v>
      </c>
      <c r="I142" t="str">
        <v>Técnica</v>
      </c>
      <c r="J142" t="str">
        <v>Alta</v>
      </c>
      <c r="K142" s="183">
        <v>46325</v>
      </c>
      <c r="L142" s="183">
        <v>0</v>
      </c>
      <c r="M142" s="188">
        <v>46325</v>
      </c>
      <c r="N142" t="str">
        <v>Se Probará en Junio con Simuladores en UAT</v>
      </c>
      <c r="O142" t="str">
        <v>Fredy C.</v>
      </c>
      <c r="P142" t="b">
        <v>1</v>
      </c>
      <c r="Q142" t="str">
        <v>1.Identificada</v>
      </c>
      <c r="R142" t="str">
        <v>Canales Asistidos</v>
      </c>
      <c r="S142">
        <v>0</v>
      </c>
      <c r="T142" t="str">
        <v>N</v>
      </c>
    </row>
    <row r="143" spans="1:20">
      <c r="A143">
        <v>125</v>
      </c>
      <c r="B143" t="str">
        <v>Canal Asistidos</v>
      </c>
      <c r="C143" t="str">
        <v>Mapa</v>
      </c>
      <c r="D143" t="str">
        <v>MF-03330</v>
      </c>
      <c r="E143" t="str">
        <v>Reclamos y Dalis</v>
      </c>
      <c r="F143" t="str">
        <v>Izipay</v>
      </c>
      <c r="G143" t="str">
        <v>Integración &amp; Conectividad</v>
      </c>
      <c r="H143" t="str">
        <v>Integración tipo batch para la comunicación entre IZIPAY y BANTOTAL para el sistema de reclamos y DALIs – canal Agencia.</v>
      </c>
      <c r="I143" t="str">
        <v>Técnica</v>
      </c>
      <c r="J143" t="str">
        <v>Alta</v>
      </c>
      <c r="K143" s="183">
        <v>46325</v>
      </c>
      <c r="L143" s="183">
        <v>0</v>
      </c>
      <c r="M143" s="188">
        <v>46325</v>
      </c>
      <c r="N143" t="str">
        <v>Se Probará en Junio con Simuladores en UAT</v>
      </c>
      <c r="O143" t="str">
        <v>Fredy C.</v>
      </c>
      <c r="P143" t="b">
        <v>1</v>
      </c>
      <c r="Q143" t="str">
        <v>1.Identificada</v>
      </c>
      <c r="R143" t="str">
        <v>Canales Asistidos</v>
      </c>
      <c r="S143">
        <v>0</v>
      </c>
      <c r="T143" t="str">
        <v>N</v>
      </c>
    </row>
    <row r="144" spans="1:20">
      <c r="A144">
        <v>126</v>
      </c>
      <c r="B144" t="str">
        <v>Canal Asistidos</v>
      </c>
      <c r="C144" t="str">
        <v>Mapa</v>
      </c>
      <c r="D144" t="str">
        <v>MF-03330</v>
      </c>
      <c r="E144" t="str">
        <v>Reclamos y Dalis</v>
      </c>
      <c r="F144" t="str">
        <v>Infraestructura</v>
      </c>
      <c r="G144" t="str">
        <v>Control M</v>
      </c>
      <c r="H144" t="str">
        <v>Control M: transferencia de archivos</v>
      </c>
      <c r="I144" t="str">
        <v>Técnica</v>
      </c>
      <c r="J144" t="str">
        <v>Medio</v>
      </c>
      <c r="K144" s="183">
        <v>46127</v>
      </c>
      <c r="L144" s="183">
        <v>0</v>
      </c>
      <c r="M144" s="188">
        <v>0</v>
      </c>
      <c r="N144">
        <v>0</v>
      </c>
      <c r="O144" t="str">
        <v>Sonia B.</v>
      </c>
      <c r="P144" t="b">
        <v>1</v>
      </c>
      <c r="Q144" t="str">
        <v>1.Identificada</v>
      </c>
      <c r="R144" t="str">
        <v>Canales Asistidos</v>
      </c>
      <c r="S144">
        <v>0</v>
      </c>
      <c r="T144" t="str">
        <v>S</v>
      </c>
    </row>
    <row r="145" spans="1:20">
      <c r="A145">
        <v>127</v>
      </c>
      <c r="B145" t="str">
        <v>Canal Asistidos</v>
      </c>
      <c r="C145" t="str">
        <v>Mapa</v>
      </c>
      <c r="D145" t="str">
        <v>MF-03315</v>
      </c>
      <c r="E145" t="str">
        <v>SPACE</v>
      </c>
      <c r="F145" t="str">
        <v>ODS</v>
      </c>
      <c r="G145" t="str">
        <v>Definición de herramienta a usar</v>
      </c>
      <c r="H145" t="str">
        <v>Definir que herramienta se usara para llamadas en las agencias</v>
      </c>
      <c r="I145" t="str">
        <v>Infraestructura</v>
      </c>
      <c r="J145" t="str">
        <v>Alta</v>
      </c>
      <c r="K145" s="183">
        <v>46178</v>
      </c>
      <c r="L145" s="183">
        <v>0</v>
      </c>
      <c r="M145" s="188">
        <v>0</v>
      </c>
      <c r="N145">
        <v>0</v>
      </c>
      <c r="O145" t="str">
        <v>Sonia B.</v>
      </c>
      <c r="P145" t="b">
        <v>1</v>
      </c>
      <c r="Q145" t="str">
        <v>1.Identificada</v>
      </c>
      <c r="R145" t="str">
        <v>Canales Asistidos</v>
      </c>
      <c r="S145">
        <v>0</v>
      </c>
      <c r="T145" t="str">
        <v>N</v>
      </c>
    </row>
    <row r="146" spans="1:20">
      <c r="A146">
        <v>128</v>
      </c>
      <c r="B146" t="str">
        <v>Canal Asistidos</v>
      </c>
      <c r="C146" t="str">
        <v>Mapa</v>
      </c>
      <c r="D146" t="str">
        <v>MF-03310</v>
      </c>
      <c r="E146" t="str">
        <v>SPACE</v>
      </c>
      <c r="F146" t="str">
        <v>ODS</v>
      </c>
      <c r="G146" t="str">
        <v>Definición de herramienta a usar</v>
      </c>
      <c r="H146" t="str">
        <v>Definir que herramienta se usara para llamadas en las agencias</v>
      </c>
      <c r="I146" t="str">
        <v>Infraestructura</v>
      </c>
      <c r="J146" t="str">
        <v>Alta</v>
      </c>
      <c r="K146" s="183">
        <v>46178</v>
      </c>
      <c r="L146" s="183">
        <v>0</v>
      </c>
      <c r="M146" s="188">
        <v>0</v>
      </c>
      <c r="N146">
        <v>0</v>
      </c>
      <c r="O146" t="str">
        <v>Sonia B.</v>
      </c>
      <c r="P146" t="b">
        <v>1</v>
      </c>
      <c r="Q146" t="str">
        <v>1.Identificada</v>
      </c>
      <c r="R146" t="str">
        <v>Canales Asistidos</v>
      </c>
      <c r="S146">
        <v>0</v>
      </c>
      <c r="T146" t="str">
        <v>N</v>
      </c>
    </row>
    <row r="147" spans="1:20">
      <c r="A147">
        <v>129</v>
      </c>
      <c r="B147" t="str">
        <v>Canal Asistidos</v>
      </c>
      <c r="C147" t="str">
        <v>Mapa</v>
      </c>
      <c r="D147" t="str">
        <v>MF-03305</v>
      </c>
      <c r="E147" t="str">
        <v>SPACE</v>
      </c>
      <c r="F147" t="str">
        <v>Infraestructura</v>
      </c>
      <c r="G147" t="str">
        <v>Conectividad</v>
      </c>
      <c r="H147" t="str">
        <v>Central Telefonica</v>
      </c>
      <c r="I147" t="str">
        <v>Técnica</v>
      </c>
      <c r="J147">
        <v>0</v>
      </c>
      <c r="K147" s="183">
        <v>46178</v>
      </c>
      <c r="L147" s="183">
        <v>0</v>
      </c>
      <c r="M147" s="188">
        <v>0</v>
      </c>
      <c r="N147">
        <v>0</v>
      </c>
      <c r="O147" t="str">
        <v>Sonia B.</v>
      </c>
      <c r="P147" t="b">
        <v>1</v>
      </c>
      <c r="Q147" t="str">
        <v>1.Identificada</v>
      </c>
      <c r="R147" t="str">
        <v>Canales Asistidos</v>
      </c>
      <c r="S147">
        <v>0</v>
      </c>
      <c r="T147" t="str">
        <v>N</v>
      </c>
    </row>
    <row r="148" spans="1:20">
      <c r="A148">
        <v>130</v>
      </c>
      <c r="B148" t="str">
        <v>Canal Asistidos</v>
      </c>
      <c r="C148" t="str">
        <v>Mapa</v>
      </c>
      <c r="D148" t="str">
        <v>MF-03300</v>
      </c>
      <c r="E148" t="str">
        <v>SPACE</v>
      </c>
      <c r="F148" t="str">
        <v>Infraestructura</v>
      </c>
      <c r="G148" t="str">
        <v>Conectividad</v>
      </c>
      <c r="H148" t="str">
        <v>Central Telefonica</v>
      </c>
      <c r="I148" t="str">
        <v>Técnica</v>
      </c>
      <c r="J148">
        <v>0</v>
      </c>
      <c r="K148" s="183">
        <v>46178</v>
      </c>
      <c r="L148" s="183">
        <v>0</v>
      </c>
      <c r="M148" s="188">
        <v>0</v>
      </c>
      <c r="N148">
        <v>0</v>
      </c>
      <c r="O148" t="str">
        <v>Sonia B.</v>
      </c>
      <c r="P148" t="b">
        <v>1</v>
      </c>
      <c r="Q148" t="str">
        <v>1.Identificada</v>
      </c>
      <c r="R148" t="str">
        <v>Canales Asistidos</v>
      </c>
      <c r="S148">
        <v>0</v>
      </c>
      <c r="T148" t="str">
        <v>N</v>
      </c>
    </row>
    <row r="149" spans="1:20">
      <c r="A149">
        <v>131</v>
      </c>
      <c r="B149" t="str">
        <v>Canal Asistidos</v>
      </c>
      <c r="C149" t="str">
        <v>Mapa</v>
      </c>
      <c r="D149" t="str">
        <v>MF-00180</v>
      </c>
      <c r="E149" t="str">
        <v>SPACE</v>
      </c>
      <c r="F149" t="str">
        <v>Infraestructura</v>
      </c>
      <c r="G149" t="str">
        <v>Habilitacion de telefonía CC</v>
      </c>
      <c r="H149" t="str">
        <v>Habilitacion de telefonía para el contact center</v>
      </c>
      <c r="I149" t="str">
        <v>Infraestructura</v>
      </c>
      <c r="J149" t="str">
        <v>Alta</v>
      </c>
      <c r="K149" s="183">
        <v>46178</v>
      </c>
      <c r="L149" s="183">
        <v>0</v>
      </c>
      <c r="M149" s="188">
        <v>0</v>
      </c>
      <c r="N149">
        <v>0</v>
      </c>
      <c r="O149" t="str">
        <v>Sonia B.</v>
      </c>
      <c r="P149" t="b">
        <v>1</v>
      </c>
      <c r="Q149" t="str">
        <v>1.Identificada</v>
      </c>
      <c r="R149" t="str">
        <v>Canales Asistidos</v>
      </c>
      <c r="S149">
        <v>0</v>
      </c>
      <c r="T149" t="str">
        <v>N</v>
      </c>
    </row>
    <row r="150" spans="1:20">
      <c r="A150">
        <v>132</v>
      </c>
      <c r="B150" t="str">
        <v>Canal Asistidos</v>
      </c>
      <c r="C150" t="str">
        <v>Mapa</v>
      </c>
      <c r="D150">
        <v>0</v>
      </c>
      <c r="E150" t="str">
        <v>Genesys Cloud</v>
      </c>
      <c r="F150">
        <v>0</v>
      </c>
      <c r="G150" t="str">
        <v>Fila 237 (Generación de data para analítica)</v>
      </c>
      <c r="H150" t="str">
        <v>Contar con Datalake para almacenamiento de información</v>
      </c>
      <c r="I150">
        <v>0</v>
      </c>
      <c r="J150">
        <v>0</v>
      </c>
      <c r="K150" s="183">
        <v>0</v>
      </c>
      <c r="L150" s="183">
        <v>0</v>
      </c>
      <c r="M150" s="188">
        <v>0</v>
      </c>
      <c r="N150">
        <v>0</v>
      </c>
      <c r="O150">
        <v>0</v>
      </c>
      <c r="P150" t="b">
        <v>1</v>
      </c>
      <c r="Q150" t="str">
        <v>1.Identificada</v>
      </c>
      <c r="R150">
        <v>0</v>
      </c>
      <c r="S150">
        <v>0</v>
      </c>
      <c r="T150" t="str">
        <v>N</v>
      </c>
    </row>
    <row r="151" spans="1:20">
      <c r="A151">
        <v>133</v>
      </c>
      <c r="B151" t="str">
        <v>Canal Asistidos</v>
      </c>
      <c r="C151" t="str">
        <v>Mapa</v>
      </c>
      <c r="D151">
        <v>0</v>
      </c>
      <c r="E151" t="str">
        <v>Genesys Cloud</v>
      </c>
      <c r="F151">
        <v>0</v>
      </c>
      <c r="G151" t="str">
        <v>Fila 238 (Generación de data para analítica)</v>
      </c>
      <c r="H151" t="str">
        <v>Contar con Datalake para almacenamiento de información</v>
      </c>
      <c r="I151">
        <v>0</v>
      </c>
      <c r="J151">
        <v>0</v>
      </c>
      <c r="K151" s="183">
        <v>0</v>
      </c>
      <c r="L151" s="183">
        <v>0</v>
      </c>
      <c r="M151" s="188">
        <v>0</v>
      </c>
      <c r="N151">
        <v>0</v>
      </c>
      <c r="O151">
        <v>0</v>
      </c>
      <c r="P151" t="b">
        <v>1</v>
      </c>
      <c r="Q151" t="str">
        <v>1.Identificada</v>
      </c>
      <c r="R151">
        <v>0</v>
      </c>
      <c r="S151">
        <v>0</v>
      </c>
      <c r="T151" t="str">
        <v>N</v>
      </c>
    </row>
    <row r="152" spans="1:20">
      <c r="A152">
        <v>134</v>
      </c>
      <c r="B152" t="str">
        <v>Canal Asistidos</v>
      </c>
      <c r="C152" t="str">
        <v>Mapa</v>
      </c>
      <c r="D152" t="str">
        <v>P-95</v>
      </c>
      <c r="E152" t="str">
        <v>Cyberfinancial</v>
      </c>
      <c r="F152" t="str">
        <v>Negocio</v>
      </c>
      <c r="G152" t="str">
        <v>Validación de formatos blancos 1, 2 y 6</v>
      </c>
      <c r="H152" t="str">
        <v>Validación de formatos blancos 1, 2 y 6</v>
      </c>
      <c r="I152" t="str">
        <v>Técnica</v>
      </c>
      <c r="J152" t="str">
        <v>Alta</v>
      </c>
      <c r="K152" s="183">
        <v>46113</v>
      </c>
      <c r="L152" s="183">
        <v>0</v>
      </c>
      <c r="M152" s="188">
        <v>46113</v>
      </c>
      <c r="N152">
        <v>0</v>
      </c>
      <c r="O152" t="str">
        <v>Sonia B.</v>
      </c>
      <c r="P152" t="b">
        <v>1</v>
      </c>
      <c r="Q152" t="str">
        <v>2.Solicitada</v>
      </c>
      <c r="R152" t="str">
        <v>Canales Asistidos</v>
      </c>
      <c r="S152">
        <v>0</v>
      </c>
      <c r="T152" t="str">
        <v>S</v>
      </c>
    </row>
    <row r="153" spans="1:20">
      <c r="A153">
        <v>135</v>
      </c>
      <c r="B153" t="str">
        <v>Canal Asistidos</v>
      </c>
      <c r="C153" t="str">
        <v>Mapa</v>
      </c>
      <c r="D153" t="str">
        <v>P-95</v>
      </c>
      <c r="E153" t="str">
        <v>Cyberfinancial</v>
      </c>
      <c r="F153" t="str">
        <v>Data</v>
      </c>
      <c r="G153" t="str">
        <v>Data de prueba – Base de Datos RGTRABAJO</v>
      </c>
      <c r="H153" t="str">
        <v>Solicitud de data de prueba – Base de Datos RGTRABAJO</v>
      </c>
      <c r="I153" t="str">
        <v>Técnica</v>
      </c>
      <c r="J153" t="str">
        <v>Alta</v>
      </c>
      <c r="K153" s="183">
        <v>46119</v>
      </c>
      <c r="L153" s="183">
        <v>0</v>
      </c>
      <c r="M153" s="188">
        <v>46119</v>
      </c>
      <c r="N153">
        <v>0</v>
      </c>
      <c r="O153" t="str">
        <v>Sonia B.</v>
      </c>
      <c r="P153" t="b">
        <v>1</v>
      </c>
      <c r="Q153" t="str">
        <v>2.Solicitada</v>
      </c>
      <c r="R153" t="str">
        <v>Canales Asistidos</v>
      </c>
      <c r="S153">
        <v>0</v>
      </c>
      <c r="T153" t="str">
        <v>S</v>
      </c>
    </row>
    <row r="154" spans="1:20">
      <c r="A154">
        <v>1</v>
      </c>
      <c r="B154" t="str">
        <v>Integración</v>
      </c>
      <c r="C154" t="str">
        <v>Cascada</v>
      </c>
      <c r="D154">
        <v>0</v>
      </c>
      <c r="E154" t="str">
        <v>Integración</v>
      </c>
      <c r="F154" t="str">
        <v>Bantotal</v>
      </c>
      <c r="G154" t="str">
        <v>Ejecución OT Bantotal PI1</v>
      </c>
      <c r="H154" t="str">
        <v>SC1274 - Integraciones ODS - Servicios de Contact Points: campos adicionales</v>
      </c>
      <c r="I154" t="str">
        <v>Técnica</v>
      </c>
      <c r="J154" t="str">
        <v>Medio</v>
      </c>
      <c r="K154" s="183">
        <v>0</v>
      </c>
      <c r="L154" s="183">
        <v>0</v>
      </c>
      <c r="M154" s="188">
        <v>0</v>
      </c>
      <c r="N154">
        <v>0</v>
      </c>
      <c r="O154" t="str">
        <v>Carol Carbajal</v>
      </c>
      <c r="P154" t="b">
        <v>1</v>
      </c>
      <c r="Q154" t="str">
        <v>4.Resuelta</v>
      </c>
      <c r="R154" t="str">
        <v>Integración</v>
      </c>
      <c r="S154">
        <v>0</v>
      </c>
      <c r="T154" t="str">
        <v>N</v>
      </c>
    </row>
    <row r="155" spans="1:20">
      <c r="A155">
        <v>2</v>
      </c>
      <c r="B155" t="str">
        <v>Integración</v>
      </c>
      <c r="C155" t="str">
        <v>Cascada</v>
      </c>
      <c r="D155">
        <v>0</v>
      </c>
      <c r="E155" t="str">
        <v>Integración</v>
      </c>
      <c r="F155" t="str">
        <v>Bantotal</v>
      </c>
      <c r="G155" t="str">
        <v>Ejecución OT Bantotal PI1</v>
      </c>
      <c r="H155" t="str">
        <v>SC1301 - Integraciones - Agregar CCI a Servicio de CuentasAsociadas a Tarjeta de Débito</v>
      </c>
      <c r="I155" t="str">
        <v>Técnica</v>
      </c>
      <c r="J155" t="str">
        <v>Medio</v>
      </c>
      <c r="K155" s="183">
        <v>0</v>
      </c>
      <c r="L155" s="183">
        <v>0</v>
      </c>
      <c r="M155" s="188">
        <v>0</v>
      </c>
      <c r="N155">
        <v>0</v>
      </c>
      <c r="O155" t="str">
        <v>Carol Carbajal</v>
      </c>
      <c r="P155" t="b">
        <v>1</v>
      </c>
      <c r="Q155" t="str">
        <v>4.Resuelta</v>
      </c>
      <c r="R155" t="str">
        <v>Integración</v>
      </c>
      <c r="S155">
        <v>0</v>
      </c>
      <c r="T155" t="str">
        <v>N</v>
      </c>
    </row>
    <row r="156" spans="1:20">
      <c r="A156">
        <v>3</v>
      </c>
      <c r="B156" t="str">
        <v>Integración</v>
      </c>
      <c r="C156" t="str">
        <v>Cascada</v>
      </c>
      <c r="D156">
        <v>0</v>
      </c>
      <c r="E156" t="str">
        <v>Integración</v>
      </c>
      <c r="F156" t="str">
        <v>Bantotal</v>
      </c>
      <c r="G156" t="str">
        <v>Ejecución OT Bantotal PI1</v>
      </c>
      <c r="H156" t="str">
        <v>SC1328 - Fusionar servicios de obtener datos del usuario y obtener detalle de sucursal</v>
      </c>
      <c r="I156" t="str">
        <v>Técnica</v>
      </c>
      <c r="J156" t="str">
        <v>Medio</v>
      </c>
      <c r="K156" s="183">
        <v>0</v>
      </c>
      <c r="L156" s="183">
        <v>0</v>
      </c>
      <c r="M156" s="188">
        <v>0</v>
      </c>
      <c r="N156">
        <v>0</v>
      </c>
      <c r="O156" t="str">
        <v>Carol Carbajal</v>
      </c>
      <c r="P156" t="b">
        <v>1</v>
      </c>
      <c r="Q156" t="str">
        <v>4.Resuelta</v>
      </c>
      <c r="R156" t="str">
        <v>Integración</v>
      </c>
      <c r="S156">
        <v>0</v>
      </c>
      <c r="T156" t="str">
        <v>N</v>
      </c>
    </row>
    <row r="157" spans="1:20">
      <c r="A157">
        <v>4</v>
      </c>
      <c r="B157" t="str">
        <v>Integración</v>
      </c>
      <c r="C157" t="str">
        <v>Cascada</v>
      </c>
      <c r="D157">
        <v>0</v>
      </c>
      <c r="E157" t="str">
        <v>Integración</v>
      </c>
      <c r="F157" t="str">
        <v>Bantotal</v>
      </c>
      <c r="G157" t="str">
        <v>Ejecución OT Bantotal PI1</v>
      </c>
      <c r="H157" t="str">
        <v>SC1311 - Integraciones - Formato del Campo idOperacionfmt</v>
      </c>
      <c r="I157" t="str">
        <v>Técnica</v>
      </c>
      <c r="J157" t="str">
        <v>Medio</v>
      </c>
      <c r="K157" s="183">
        <v>0</v>
      </c>
      <c r="L157" s="183">
        <v>0</v>
      </c>
      <c r="M157" s="188">
        <v>0</v>
      </c>
      <c r="N157">
        <v>0</v>
      </c>
      <c r="O157" t="str">
        <v>Carol Carbajal</v>
      </c>
      <c r="P157" t="b">
        <v>1</v>
      </c>
      <c r="Q157" t="str">
        <v>4.Resuelta</v>
      </c>
      <c r="R157" t="str">
        <v>Integración</v>
      </c>
      <c r="S157">
        <v>0</v>
      </c>
      <c r="T157" t="str">
        <v>N</v>
      </c>
    </row>
    <row r="158" spans="1:20">
      <c r="A158">
        <v>5</v>
      </c>
      <c r="B158" t="str">
        <v>Integración</v>
      </c>
      <c r="C158" t="str">
        <v>Cascada</v>
      </c>
      <c r="D158">
        <v>0</v>
      </c>
      <c r="E158" t="str">
        <v>Integración</v>
      </c>
      <c r="F158" t="str">
        <v>Bantotal</v>
      </c>
      <c r="G158" t="str">
        <v>Ejecución OT Bantotal PI1</v>
      </c>
      <c r="H158" t="str">
        <v>SC1331 - BT SCTarjetaDebito.ObtenerTarjetasDebitoPorCliente, devolver las tarjetas adicionales</v>
      </c>
      <c r="I158" t="str">
        <v>Técnica</v>
      </c>
      <c r="J158" t="str">
        <v>Medio</v>
      </c>
      <c r="K158" s="183">
        <v>0</v>
      </c>
      <c r="L158" s="183">
        <v>0</v>
      </c>
      <c r="M158" s="188">
        <v>0</v>
      </c>
      <c r="N158">
        <v>0</v>
      </c>
      <c r="O158" t="str">
        <v>Carol Carbajal</v>
      </c>
      <c r="P158" t="b">
        <v>1</v>
      </c>
      <c r="Q158" t="str">
        <v>4.Resuelta</v>
      </c>
      <c r="R158" t="str">
        <v>Integración</v>
      </c>
      <c r="S158">
        <v>0</v>
      </c>
      <c r="T158" t="str">
        <v>N</v>
      </c>
    </row>
    <row r="159" spans="1:20">
      <c r="A159">
        <v>6</v>
      </c>
      <c r="B159" t="str">
        <v>Integración</v>
      </c>
      <c r="C159" t="str">
        <v>Cascada</v>
      </c>
      <c r="D159">
        <v>0</v>
      </c>
      <c r="E159" t="str">
        <v>Integración</v>
      </c>
      <c r="F159" t="str">
        <v>Bantotal</v>
      </c>
      <c r="G159" t="str">
        <v>Ejecución OT Bantotal PI1</v>
      </c>
      <c r="H159" t="str">
        <v>SC1354 - Modificar estado de cuenta: mostrar movimientos anulados y marca de cual anulado y cual no</v>
      </c>
      <c r="I159" t="str">
        <v>Técnica</v>
      </c>
      <c r="J159" t="str">
        <v>Medio</v>
      </c>
      <c r="K159" s="183">
        <v>46098</v>
      </c>
      <c r="L159" s="183">
        <v>0</v>
      </c>
      <c r="M159" s="188">
        <v>46098</v>
      </c>
      <c r="N159">
        <v>0</v>
      </c>
      <c r="O159" t="str">
        <v>Carol Carbajal</v>
      </c>
      <c r="P159" t="b">
        <v>1</v>
      </c>
      <c r="Q159" t="str">
        <v>4.Resuelta</v>
      </c>
      <c r="R159" t="str">
        <v>Integración</v>
      </c>
      <c r="S159">
        <v>0</v>
      </c>
      <c r="T159" t="str">
        <v>S</v>
      </c>
    </row>
    <row r="160" spans="1:20">
      <c r="A160">
        <v>7</v>
      </c>
      <c r="B160" t="str">
        <v>Integración</v>
      </c>
      <c r="C160" t="str">
        <v>Cascada</v>
      </c>
      <c r="D160">
        <v>0</v>
      </c>
      <c r="E160" t="str">
        <v>Integración</v>
      </c>
      <c r="F160" t="str">
        <v>Bantotal</v>
      </c>
      <c r="G160" t="str">
        <v>Ejecución OT Bantotal PI2</v>
      </c>
      <c r="H160" t="str">
        <v>SC1354 - Modificar API BTDepositosAPlazo.ObtenerDatos</v>
      </c>
      <c r="I160" t="str">
        <v>Técnica</v>
      </c>
      <c r="J160" t="str">
        <v>Medio</v>
      </c>
      <c r="K160" s="183">
        <v>46101</v>
      </c>
      <c r="L160" s="183">
        <v>0</v>
      </c>
      <c r="M160" s="188">
        <v>46101</v>
      </c>
      <c r="N160">
        <v>0</v>
      </c>
      <c r="O160" t="str">
        <v>Carol Carbajal</v>
      </c>
      <c r="P160" t="b">
        <v>1</v>
      </c>
      <c r="Q160" t="str">
        <v>4.Resuelta</v>
      </c>
      <c r="R160" t="str">
        <v>Integración</v>
      </c>
      <c r="S160">
        <v>0</v>
      </c>
      <c r="T160" t="str">
        <v>S</v>
      </c>
    </row>
    <row r="161" spans="1:20">
      <c r="A161">
        <v>8</v>
      </c>
      <c r="B161" t="str">
        <v>Integración</v>
      </c>
      <c r="C161" t="str">
        <v>Cascada</v>
      </c>
      <c r="D161">
        <v>0</v>
      </c>
      <c r="E161" t="str">
        <v>Integración</v>
      </c>
      <c r="F161" t="str">
        <v>Bantotal</v>
      </c>
      <c r="G161" t="str">
        <v>Ejecución OT Bantotal PI2</v>
      </c>
      <c r="H161" t="str">
        <v>SC1354 - D1-078 Nueva API copia del servicio BTPrestamos.ObtenerDetalle, el 13/03 se entrega mockups</v>
      </c>
      <c r="I161" t="str">
        <v>Técnica</v>
      </c>
      <c r="J161" t="str">
        <v>Medio</v>
      </c>
      <c r="K161" s="183">
        <v>46098</v>
      </c>
      <c r="L161" s="183">
        <v>0</v>
      </c>
      <c r="M161" s="188">
        <v>46098</v>
      </c>
      <c r="N161">
        <v>0</v>
      </c>
      <c r="O161" t="str">
        <v>Carol Carbajal</v>
      </c>
      <c r="P161" t="b">
        <v>1</v>
      </c>
      <c r="Q161" t="str">
        <v>4.Resuelta</v>
      </c>
      <c r="R161" t="str">
        <v>Integración</v>
      </c>
      <c r="S161">
        <v>0</v>
      </c>
      <c r="T161" t="str">
        <v>S</v>
      </c>
    </row>
    <row r="162" spans="1:20">
      <c r="A162">
        <v>9</v>
      </c>
      <c r="B162" t="str">
        <v>Integración</v>
      </c>
      <c r="C162" t="str">
        <v>Cascada</v>
      </c>
      <c r="D162">
        <v>0</v>
      </c>
      <c r="E162" t="str">
        <v>Integración</v>
      </c>
      <c r="F162" t="str">
        <v>Bantotal</v>
      </c>
      <c r="G162" t="str">
        <v>Ejecución OT Bantotal PI2</v>
      </c>
      <c r="H162" t="str">
        <v>SC1354 - D1-169  Nueva API para devolver datos del producto, el 13/03 se entrega mockups</v>
      </c>
      <c r="I162" t="str">
        <v>Técnica</v>
      </c>
      <c r="J162" t="str">
        <v>Medio</v>
      </c>
      <c r="K162" s="183">
        <v>46101</v>
      </c>
      <c r="L162" s="183">
        <v>0</v>
      </c>
      <c r="M162" s="188">
        <v>46101</v>
      </c>
      <c r="N162">
        <v>0</v>
      </c>
      <c r="O162" t="str">
        <v>Carol Carbajal</v>
      </c>
      <c r="P162" t="b">
        <v>1</v>
      </c>
      <c r="Q162" t="str">
        <v>4.Resuelta</v>
      </c>
      <c r="R162" t="str">
        <v>Integración</v>
      </c>
      <c r="S162">
        <v>0</v>
      </c>
      <c r="T162" t="str">
        <v>S</v>
      </c>
    </row>
    <row r="163" spans="1:20">
      <c r="A163">
        <v>10</v>
      </c>
      <c r="B163" t="str">
        <v>Integración</v>
      </c>
      <c r="C163" t="str">
        <v>Cascada</v>
      </c>
      <c r="D163">
        <v>0</v>
      </c>
      <c r="E163" t="str">
        <v>Integración</v>
      </c>
      <c r="F163" t="str">
        <v>Bantotal</v>
      </c>
      <c r="G163" t="str">
        <v>Ejecución OT Bantotal PI2</v>
      </c>
      <c r="H163" t="str">
        <v>SC1354 - D1-081 Nueva API  copia del servicio BTPrestamos.ObtenerCronograma, el 13/03 se entrega mockups</v>
      </c>
      <c r="I163" t="str">
        <v>Técnica</v>
      </c>
      <c r="J163" t="str">
        <v>Medio</v>
      </c>
      <c r="K163" s="183">
        <v>46107</v>
      </c>
      <c r="L163" s="183">
        <v>0</v>
      </c>
      <c r="M163" s="188">
        <v>46107</v>
      </c>
      <c r="N163">
        <v>0</v>
      </c>
      <c r="O163" t="str">
        <v>Carol Carbajal</v>
      </c>
      <c r="P163" t="b">
        <v>1</v>
      </c>
      <c r="Q163" t="str">
        <v>4.Resuelta</v>
      </c>
      <c r="R163" t="str">
        <v>Integración</v>
      </c>
      <c r="S163">
        <v>0</v>
      </c>
      <c r="T163" t="str">
        <v>S</v>
      </c>
    </row>
    <row r="164" spans="1:20">
      <c r="A164">
        <v>11</v>
      </c>
      <c r="B164" t="str">
        <v>Integración</v>
      </c>
      <c r="C164" t="str">
        <v>Cascada</v>
      </c>
      <c r="D164">
        <v>0</v>
      </c>
      <c r="E164" t="str">
        <v>Integración</v>
      </c>
      <c r="F164" t="str">
        <v>Bantotal</v>
      </c>
      <c r="G164" t="str">
        <v>Ejecución OT Bantotal PI2</v>
      </c>
      <c r="H164" t="str">
        <v>SC1357 - Ajustes al servicio de  Puntos de contacto para agregarle campos</v>
      </c>
      <c r="I164" t="str">
        <v>Técnica</v>
      </c>
      <c r="J164" t="str">
        <v>Medio</v>
      </c>
      <c r="K164" s="183">
        <v>46100</v>
      </c>
      <c r="L164" s="183">
        <v>0</v>
      </c>
      <c r="M164" s="188">
        <v>46100</v>
      </c>
      <c r="N164">
        <v>0</v>
      </c>
      <c r="O164" t="str">
        <v>Carol Carbajal</v>
      </c>
      <c r="P164" t="b">
        <v>1</v>
      </c>
      <c r="Q164" t="str">
        <v>4.Resuelta</v>
      </c>
      <c r="R164" t="str">
        <v>Integración</v>
      </c>
      <c r="S164">
        <v>0</v>
      </c>
      <c r="T164" t="str">
        <v>S</v>
      </c>
    </row>
    <row r="165" spans="1:20">
      <c r="A165">
        <v>12</v>
      </c>
      <c r="B165" t="str">
        <v>Integración</v>
      </c>
      <c r="C165" t="str">
        <v>Cascada</v>
      </c>
      <c r="D165">
        <v>0</v>
      </c>
      <c r="E165" t="str">
        <v>Integración</v>
      </c>
      <c r="F165" t="str">
        <v>Canal Digital</v>
      </c>
      <c r="G165" t="str">
        <v>Definición PI3 Canales Digitales</v>
      </c>
      <c r="H165" t="str">
        <v>Se necesita el mapeo de funcionalidades con endpoints de APIs globales para canales digitales Onboarding</v>
      </c>
      <c r="I165" t="str">
        <v>Funcional</v>
      </c>
      <c r="J165" t="str">
        <v>Alta</v>
      </c>
      <c r="K165" s="183">
        <v>46112</v>
      </c>
      <c r="L165" s="183">
        <v>0</v>
      </c>
      <c r="M165" s="188">
        <v>46112</v>
      </c>
      <c r="N165">
        <v>0</v>
      </c>
      <c r="O165" t="str">
        <v>Henry</v>
      </c>
      <c r="P165" t="b">
        <v>1</v>
      </c>
      <c r="Q165" t="str">
        <v>4.Resuelta</v>
      </c>
      <c r="R165" t="str">
        <v>Integración</v>
      </c>
      <c r="S165">
        <v>0</v>
      </c>
      <c r="T165" t="str">
        <v>S</v>
      </c>
    </row>
    <row r="166" spans="1:20">
      <c r="A166">
        <v>13</v>
      </c>
      <c r="B166" t="str">
        <v>Integración</v>
      </c>
      <c r="C166" t="str">
        <v>Cascada</v>
      </c>
      <c r="D166">
        <v>0</v>
      </c>
      <c r="E166" t="str">
        <v>Integración</v>
      </c>
      <c r="F166" t="str">
        <v>Canal Digital</v>
      </c>
      <c r="G166" t="str">
        <v>Definición PI3 Canales Digitales</v>
      </c>
      <c r="H166" t="str">
        <v>Se necesita el mapeo de funcionalidades con endpoints de APIs globales para canales digitales Sin contracting</v>
      </c>
      <c r="I166" t="str">
        <v>Funcional</v>
      </c>
      <c r="J166" t="str">
        <v>Alta</v>
      </c>
      <c r="K166" s="183">
        <v>46112</v>
      </c>
      <c r="L166" s="183">
        <v>0</v>
      </c>
      <c r="M166" s="188">
        <v>46127</v>
      </c>
      <c r="N166">
        <v>0</v>
      </c>
      <c r="O166" t="str">
        <v>Henry</v>
      </c>
      <c r="P166" t="b">
        <v>1</v>
      </c>
      <c r="Q166" t="str">
        <v>2.Solicitada</v>
      </c>
      <c r="R166" t="str">
        <v>Integración</v>
      </c>
      <c r="S166">
        <v>0</v>
      </c>
      <c r="T166" t="str">
        <v>S</v>
      </c>
    </row>
    <row r="167" spans="1:20">
      <c r="A167">
        <v>14</v>
      </c>
      <c r="B167" t="str">
        <v>Integración</v>
      </c>
      <c r="C167" t="str">
        <v>Cascada</v>
      </c>
      <c r="D167">
        <v>0</v>
      </c>
      <c r="E167" t="str">
        <v>Integración</v>
      </c>
      <c r="F167" t="str">
        <v>Canal Digital</v>
      </c>
      <c r="G167" t="str">
        <v>Definición PI3 Canales Digitales</v>
      </c>
      <c r="H167" t="str">
        <v>Se necesita el mapeo de funcionalidades con endpoints de APIs globales para canales digitales Contracting</v>
      </c>
      <c r="I167" t="str">
        <v>Funcional</v>
      </c>
      <c r="J167" t="str">
        <v>Alta</v>
      </c>
      <c r="K167" s="183">
        <v>46112</v>
      </c>
      <c r="L167" s="183">
        <v>0</v>
      </c>
      <c r="M167" s="188">
        <v>46171</v>
      </c>
      <c r="N167">
        <v>0</v>
      </c>
      <c r="O167" t="str">
        <v>Henry</v>
      </c>
      <c r="P167" t="b">
        <v>1</v>
      </c>
      <c r="Q167" t="str">
        <v>2.Solicitada</v>
      </c>
      <c r="R167" t="str">
        <v>Integración</v>
      </c>
      <c r="S167">
        <v>0</v>
      </c>
      <c r="T167" t="str">
        <v>S</v>
      </c>
    </row>
    <row r="168" spans="1:20">
      <c r="A168">
        <v>15</v>
      </c>
      <c r="B168" t="str">
        <v>Integración</v>
      </c>
      <c r="C168" t="str">
        <v>Cascada</v>
      </c>
      <c r="D168">
        <v>0</v>
      </c>
      <c r="E168" t="str">
        <v>Integración</v>
      </c>
      <c r="F168" t="str">
        <v>Canal Asistido</v>
      </c>
      <c r="G168" t="str">
        <v>Definición PI3 Canales Asistidos</v>
      </c>
      <c r="H168" t="str">
        <v>Se necesita el mapeo de funcionalidades con endpoints de APIs globales para canales asistidos</v>
      </c>
      <c r="I168" t="str">
        <v>Funcional</v>
      </c>
      <c r="J168" t="str">
        <v>Alta</v>
      </c>
      <c r="K168" s="183">
        <v>46112</v>
      </c>
      <c r="L168" s="183">
        <v>0</v>
      </c>
      <c r="M168" s="188">
        <v>46127</v>
      </c>
      <c r="N168">
        <v>0</v>
      </c>
      <c r="O168" t="str">
        <v>Sonia</v>
      </c>
      <c r="P168" t="b">
        <v>1</v>
      </c>
      <c r="Q168" t="str">
        <v>2.Solicitada</v>
      </c>
      <c r="R168" t="str">
        <v>Integración</v>
      </c>
      <c r="S168">
        <v>0</v>
      </c>
      <c r="T168" t="str">
        <v>S</v>
      </c>
    </row>
    <row r="169" spans="1:20">
      <c r="A169">
        <v>1</v>
      </c>
      <c r="B169" t="str">
        <v>Cards &amp; Payments</v>
      </c>
      <c r="C169" t="str">
        <v>Mapa</v>
      </c>
      <c r="D169" t="str">
        <v>M-5</v>
      </c>
      <c r="E169" t="str">
        <v>Cards y Payments</v>
      </c>
      <c r="F169" t="str">
        <v>Bancared</v>
      </c>
      <c r="G169" t="str">
        <v>Interconexión con terceros</v>
      </c>
      <c r="H169" t="str">
        <v>Interconexión con Izipay</v>
      </c>
      <c r="I169" t="str">
        <v>Técnica</v>
      </c>
      <c r="J169" t="str">
        <v>Alta</v>
      </c>
      <c r="K169" s="183">
        <v>46142</v>
      </c>
      <c r="L169" s="183">
        <v>0</v>
      </c>
      <c r="M169" s="188" t="str">
        <v>TBD</v>
      </c>
      <c r="N169">
        <v>0</v>
      </c>
      <c r="O169" t="str">
        <v>Hector Guerra</v>
      </c>
      <c r="P169" t="b">
        <v>1</v>
      </c>
      <c r="Q169" t="str">
        <v>4.Resuelta</v>
      </c>
      <c r="R169" t="str">
        <v>Cards</v>
      </c>
      <c r="S169">
        <v>0</v>
      </c>
      <c r="T169" t="str">
        <v>S</v>
      </c>
    </row>
    <row r="170" spans="1:20">
      <c r="A170">
        <v>2</v>
      </c>
      <c r="B170" t="str">
        <v>Cards &amp; Payments</v>
      </c>
      <c r="C170" t="str">
        <v>Mapa</v>
      </c>
      <c r="D170" t="str">
        <v>M-5</v>
      </c>
      <c r="E170" t="str">
        <v>Cards y Payments</v>
      </c>
      <c r="F170" t="str">
        <v>Bancared</v>
      </c>
      <c r="G170" t="str">
        <v>Interconexión con terceros</v>
      </c>
      <c r="H170" t="str">
        <v>Interconexión con Kasnet</v>
      </c>
      <c r="I170" t="str">
        <v>Técnica</v>
      </c>
      <c r="J170" t="str">
        <v>Alta</v>
      </c>
      <c r="K170" s="183">
        <v>46142</v>
      </c>
      <c r="L170" s="183">
        <v>0</v>
      </c>
      <c r="M170" s="188" t="str">
        <v>TBD</v>
      </c>
      <c r="N170">
        <v>0</v>
      </c>
      <c r="O170" t="str">
        <v>Hector Guerra</v>
      </c>
      <c r="P170" t="b">
        <v>1</v>
      </c>
      <c r="Q170" t="str">
        <v>4.Resuelta</v>
      </c>
      <c r="R170" t="str">
        <v>Cards</v>
      </c>
      <c r="S170">
        <v>0</v>
      </c>
      <c r="T170" t="str">
        <v>S</v>
      </c>
    </row>
    <row r="171" spans="1:20">
      <c r="A171">
        <v>3</v>
      </c>
      <c r="B171" t="str">
        <v>Cards &amp; Payments</v>
      </c>
      <c r="C171" t="str">
        <v>Mapa</v>
      </c>
      <c r="D171" t="str">
        <v>M-5</v>
      </c>
      <c r="E171" t="str">
        <v>Cards y Payments</v>
      </c>
      <c r="F171" t="str">
        <v>Bancared</v>
      </c>
      <c r="G171" t="str">
        <v>Interconexión con terceros</v>
      </c>
      <c r="H171" t="str">
        <v>Interconexión con Globalnet</v>
      </c>
      <c r="I171" t="str">
        <v>Técnica</v>
      </c>
      <c r="J171" t="str">
        <v>Alta</v>
      </c>
      <c r="K171" s="183">
        <v>46149</v>
      </c>
      <c r="L171" s="183">
        <v>0</v>
      </c>
      <c r="M171" s="188" t="str">
        <v>TBD</v>
      </c>
      <c r="N171">
        <v>0</v>
      </c>
      <c r="O171" t="str">
        <v>Hector Guerra</v>
      </c>
      <c r="P171" t="b">
        <v>0</v>
      </c>
      <c r="Q171" t="str">
        <v>2.Solicitada</v>
      </c>
      <c r="R171" t="str">
        <v>Cards</v>
      </c>
      <c r="S171">
        <v>0</v>
      </c>
      <c r="T171" t="str">
        <v>N</v>
      </c>
    </row>
    <row r="172" spans="1:20">
      <c r="A172">
        <v>4</v>
      </c>
      <c r="B172" t="str">
        <v>Cards &amp; Payments</v>
      </c>
      <c r="C172" t="str">
        <v>Mapa</v>
      </c>
      <c r="D172" t="str">
        <v>M-5</v>
      </c>
      <c r="E172" t="str">
        <v>Cards y Payments</v>
      </c>
      <c r="F172" t="str">
        <v>Bancared</v>
      </c>
      <c r="G172" t="str">
        <v>Interconexión con terceros</v>
      </c>
      <c r="H172" t="str">
        <v>Interconexión con Unibanca</v>
      </c>
      <c r="I172" t="str">
        <v>Técnica</v>
      </c>
      <c r="J172" t="str">
        <v>Alta</v>
      </c>
      <c r="K172" s="183">
        <v>46149</v>
      </c>
      <c r="L172" s="183">
        <v>0</v>
      </c>
      <c r="M172" s="188" t="str">
        <v>TBD</v>
      </c>
      <c r="N172">
        <v>0</v>
      </c>
      <c r="O172" t="str">
        <v>Hector Guerra</v>
      </c>
      <c r="P172" t="b">
        <v>0</v>
      </c>
      <c r="Q172" t="str">
        <v>2.Solicitada</v>
      </c>
      <c r="R172" t="str">
        <v>Cards</v>
      </c>
      <c r="S172">
        <v>0</v>
      </c>
      <c r="T172" t="str">
        <v>N</v>
      </c>
    </row>
    <row r="173" spans="1:20">
      <c r="A173">
        <v>5</v>
      </c>
      <c r="B173" t="str">
        <v>Cards &amp; Payments</v>
      </c>
      <c r="C173" t="str">
        <v>Mapa</v>
      </c>
      <c r="D173">
        <v>0</v>
      </c>
      <c r="E173" t="str">
        <v>Cards y Payments</v>
      </c>
      <c r="F173" t="str">
        <v>Globalnet</v>
      </c>
      <c r="G173" t="str">
        <v>Homologación y Contrato con Globalnet</v>
      </c>
      <c r="H173" t="str">
        <v>Iniciar coordinaciones para la implementación de las operaciones de TD y TC</v>
      </c>
      <c r="I173" t="str">
        <v>Técnica</v>
      </c>
      <c r="J173" t="str">
        <v>Alta</v>
      </c>
      <c r="K173" s="183">
        <v>46081</v>
      </c>
      <c r="L173" s="183">
        <v>0</v>
      </c>
      <c r="M173" s="188" t="str">
        <v>TBD</v>
      </c>
      <c r="N173">
        <v>0</v>
      </c>
      <c r="O173" t="str">
        <v>Administración</v>
      </c>
      <c r="P173" t="b">
        <v>1</v>
      </c>
      <c r="Q173" t="str">
        <v>4.Resuelta</v>
      </c>
      <c r="R173" t="str">
        <v>Cards</v>
      </c>
      <c r="S173">
        <v>0</v>
      </c>
      <c r="T173" t="str">
        <v>S</v>
      </c>
    </row>
    <row r="174" spans="1:20">
      <c r="A174">
        <v>6</v>
      </c>
      <c r="B174" t="str">
        <v>Cards &amp; Payments</v>
      </c>
      <c r="C174" t="str">
        <v>Mapa</v>
      </c>
      <c r="D174">
        <v>0</v>
      </c>
      <c r="E174" t="str">
        <v>Cards y Payments</v>
      </c>
      <c r="F174" t="str">
        <v>Byte</v>
      </c>
      <c r="G174" t="str">
        <v>Homologación y Contrato del proveedor para Sistema de Conciliación</v>
      </c>
      <c r="H174" t="str">
        <v>Iniciar coordinaciones para la implementación del Sistema de Conciliación</v>
      </c>
      <c r="I174" t="str">
        <v>Técnica</v>
      </c>
      <c r="J174" t="str">
        <v>Alta</v>
      </c>
      <c r="K174" s="183">
        <v>46112</v>
      </c>
      <c r="L174" s="183">
        <v>0</v>
      </c>
      <c r="M174" s="188" t="str">
        <v>TBD</v>
      </c>
      <c r="N174">
        <v>0</v>
      </c>
      <c r="O174" t="str">
        <v>Administración</v>
      </c>
      <c r="P174" t="b">
        <v>1</v>
      </c>
      <c r="Q174" t="str">
        <v>4.Resuelta</v>
      </c>
      <c r="R174" t="str">
        <v>Cards</v>
      </c>
      <c r="S174">
        <v>0</v>
      </c>
      <c r="T174" t="str">
        <v>S</v>
      </c>
    </row>
    <row r="175" spans="1:20">
      <c r="A175">
        <v>7</v>
      </c>
      <c r="B175" t="str">
        <v>Cards &amp; Payments</v>
      </c>
      <c r="C175" t="str">
        <v>Mapa</v>
      </c>
      <c r="D175">
        <v>0</v>
      </c>
      <c r="E175" t="str">
        <v>Cards y Payments</v>
      </c>
      <c r="F175" t="str">
        <v>Izipay</v>
      </c>
      <c r="G175" t="str">
        <v>Requerimientos técnicos por parte de Izipay</v>
      </c>
      <c r="H175" t="str">
        <v>Retraso en la implementación de las funcionalidades del Switch Transaccional para TD y TC</v>
      </c>
      <c r="I175" t="str">
        <v>Técnica</v>
      </c>
      <c r="J175" t="str">
        <v>Alta</v>
      </c>
      <c r="K175" s="183">
        <v>46171</v>
      </c>
      <c r="L175" s="183">
        <v>0</v>
      </c>
      <c r="M175" s="188" t="str">
        <v>TBD</v>
      </c>
      <c r="N175">
        <v>0</v>
      </c>
      <c r="O175" t="str">
        <v>Mia Lavandera</v>
      </c>
      <c r="P175" t="b">
        <v>0</v>
      </c>
      <c r="Q175" t="str">
        <v>3.En progreso</v>
      </c>
      <c r="R175" t="str">
        <v>Cards</v>
      </c>
      <c r="S175">
        <v>0</v>
      </c>
      <c r="T175" t="str">
        <v>N</v>
      </c>
    </row>
    <row r="176" spans="1:20">
      <c r="A176">
        <v>8</v>
      </c>
      <c r="B176" t="str">
        <v>Cards &amp; Payments</v>
      </c>
      <c r="C176" t="str">
        <v>Mapa</v>
      </c>
      <c r="D176">
        <v>0</v>
      </c>
      <c r="E176" t="str">
        <v>Cards y Payments</v>
      </c>
      <c r="F176" t="str">
        <v>Infra México</v>
      </c>
      <c r="G176" t="str">
        <v>Entrega de la Infraestructura requerida para la implementación del Gateway Server y BD para MIG</v>
      </c>
      <c r="H176" t="str">
        <v>Retraso en la implementación del MIG</v>
      </c>
      <c r="I176" t="str">
        <v>Técnica</v>
      </c>
      <c r="J176" t="str">
        <v>Alta</v>
      </c>
      <c r="K176" s="183">
        <v>46142</v>
      </c>
      <c r="L176" s="183">
        <v>0</v>
      </c>
      <c r="M176" s="188" t="str">
        <v>TBD</v>
      </c>
      <c r="N176">
        <v>0</v>
      </c>
      <c r="O176" t="str">
        <v>Leonel Popoca</v>
      </c>
      <c r="P176" t="b">
        <v>1</v>
      </c>
      <c r="Q176" t="str">
        <v>3.En progreso</v>
      </c>
      <c r="R176" t="str">
        <v>Cards</v>
      </c>
      <c r="S176">
        <v>0</v>
      </c>
      <c r="T176" t="str">
        <v>S</v>
      </c>
    </row>
    <row r="177" spans="1:20">
      <c r="A177">
        <v>9</v>
      </c>
      <c r="B177" t="str">
        <v>Cards &amp; Payments</v>
      </c>
      <c r="C177" t="str">
        <v>Mapa</v>
      </c>
      <c r="D177">
        <v>0</v>
      </c>
      <c r="E177" t="str">
        <v>Cards y Payments</v>
      </c>
      <c r="F177" t="str">
        <v>Operaciones de Tarjeta</v>
      </c>
      <c r="G177" t="str">
        <v>Recopilación funcionalidades/operaciones del Negocio</v>
      </c>
      <c r="H177" t="str">
        <v>Entrega de matriz de funcionalidades/operaciones de TC</v>
      </c>
      <c r="I177" t="str">
        <v>Funcional</v>
      </c>
      <c r="J177" t="str">
        <v>Alta</v>
      </c>
      <c r="K177" s="183">
        <v>46099</v>
      </c>
      <c r="L177" s="183">
        <v>0</v>
      </c>
      <c r="M177" s="188">
        <v>46099</v>
      </c>
      <c r="N177">
        <v>0</v>
      </c>
      <c r="O177" t="str">
        <v>Deysi Reyes</v>
      </c>
      <c r="P177" t="b">
        <v>1</v>
      </c>
      <c r="Q177" t="str">
        <v>4.Resuelta</v>
      </c>
      <c r="R177" t="str">
        <v>Cards</v>
      </c>
      <c r="S177">
        <v>0</v>
      </c>
      <c r="T177" t="str">
        <v>S</v>
      </c>
    </row>
    <row r="178" spans="1:20">
      <c r="A178">
        <v>10</v>
      </c>
      <c r="B178" t="str">
        <v>Cards &amp; Payments</v>
      </c>
      <c r="C178" t="str">
        <v>Mapa</v>
      </c>
      <c r="D178">
        <v>0</v>
      </c>
      <c r="E178" t="str">
        <v>Canales Asistidos</v>
      </c>
      <c r="F178" t="str">
        <v>Contact Center</v>
      </c>
      <c r="G178" t="str">
        <v>Recopilación funcionalidades/operaciones del Negocio</v>
      </c>
      <c r="H178" t="str">
        <v>Entrega de matriz de funcionalidades/operaciones de TC</v>
      </c>
      <c r="I178" t="str">
        <v>Funcional</v>
      </c>
      <c r="J178" t="str">
        <v>Alta</v>
      </c>
      <c r="K178" s="183">
        <v>46112</v>
      </c>
      <c r="L178" s="183">
        <v>0</v>
      </c>
      <c r="M178" s="188">
        <v>46112</v>
      </c>
      <c r="N178">
        <v>0</v>
      </c>
      <c r="O178" t="str">
        <v>Diana Llanos</v>
      </c>
      <c r="P178" t="b">
        <v>1</v>
      </c>
      <c r="Q178" t="str">
        <v>4.Resuelta</v>
      </c>
      <c r="R178" t="str">
        <v>Cards</v>
      </c>
      <c r="S178">
        <v>0</v>
      </c>
      <c r="T178" t="str">
        <v>S</v>
      </c>
    </row>
    <row r="179" spans="1:20">
      <c r="A179">
        <v>11</v>
      </c>
      <c r="B179" t="str">
        <v>Cards &amp; Payments</v>
      </c>
      <c r="C179" t="str">
        <v>Mapa</v>
      </c>
      <c r="D179">
        <v>0</v>
      </c>
      <c r="E179" t="str">
        <v>Cards y Payments</v>
      </c>
      <c r="F179" t="str">
        <v>Scotiabank</v>
      </c>
      <c r="G179" t="str">
        <v>Intercambio de llaves con Scotiabank (CVK y PVK, etc)</v>
      </c>
      <c r="H179" t="str">
        <v>Para ejecución de pruebas en ambiente de UAT</v>
      </c>
      <c r="I179" t="str">
        <v>Técnica</v>
      </c>
      <c r="J179" t="str">
        <v>Alta</v>
      </c>
      <c r="K179" s="183">
        <v>46157</v>
      </c>
      <c r="L179" s="183">
        <v>0</v>
      </c>
      <c r="M179" s="188" t="str">
        <v>TBD</v>
      </c>
      <c r="N179">
        <v>0</v>
      </c>
      <c r="O179" t="str">
        <v>César Villanueva</v>
      </c>
      <c r="P179" t="b">
        <v>0</v>
      </c>
      <c r="Q179" t="str">
        <v>1.Identificada</v>
      </c>
      <c r="R179" t="str">
        <v>Cards</v>
      </c>
      <c r="S179">
        <v>0</v>
      </c>
      <c r="T179" t="str">
        <v>N</v>
      </c>
    </row>
    <row r="180" spans="1:20">
      <c r="A180">
        <v>12</v>
      </c>
      <c r="B180" t="str">
        <v>Cards &amp; Payments</v>
      </c>
      <c r="C180" t="str">
        <v>Mapa</v>
      </c>
      <c r="D180">
        <v>0</v>
      </c>
      <c r="E180" t="str">
        <v>Cards y Payments</v>
      </c>
      <c r="F180" t="str">
        <v>Data</v>
      </c>
      <c r="G180" t="str">
        <v>Entrega del offset de TD</v>
      </c>
      <c r="H180" t="str">
        <v>Migración de TD activas actualmente</v>
      </c>
      <c r="I180" t="str">
        <v>Data</v>
      </c>
      <c r="J180" t="str">
        <v>Alta</v>
      </c>
      <c r="K180" s="183">
        <v>46157</v>
      </c>
      <c r="L180" s="183">
        <v>0</v>
      </c>
      <c r="M180" s="188" t="str">
        <v>TBD</v>
      </c>
      <c r="N180">
        <v>0</v>
      </c>
      <c r="O180" t="str">
        <v>Jean Paul Astonitas</v>
      </c>
      <c r="P180" t="b">
        <v>0</v>
      </c>
      <c r="Q180" t="str">
        <v>2.Solicitada</v>
      </c>
      <c r="R180" t="str">
        <v>Cards</v>
      </c>
      <c r="S180">
        <v>0</v>
      </c>
      <c r="T180" t="str">
        <v>N</v>
      </c>
    </row>
    <row r="181" spans="1:20">
      <c r="A181">
        <v>13</v>
      </c>
      <c r="B181" t="str">
        <v>Cards &amp; Payments</v>
      </c>
      <c r="C181" t="str">
        <v>Mapa</v>
      </c>
      <c r="D181">
        <v>0</v>
      </c>
      <c r="E181" t="str">
        <v>Cards y Payments</v>
      </c>
      <c r="F181" t="str">
        <v>Data</v>
      </c>
      <c r="G181" t="str">
        <v>Entrega del offset de TC</v>
      </c>
      <c r="H181" t="str">
        <v>Migración de TC activas actualmente</v>
      </c>
      <c r="I181" t="str">
        <v>Data</v>
      </c>
      <c r="J181" t="str">
        <v>Alta</v>
      </c>
      <c r="K181" s="183">
        <v>46157</v>
      </c>
      <c r="L181" s="183">
        <v>0</v>
      </c>
      <c r="M181" s="188" t="str">
        <v>TBD</v>
      </c>
      <c r="N181">
        <v>0</v>
      </c>
      <c r="O181" t="str">
        <v>Jean Paul Astonitas</v>
      </c>
      <c r="P181" t="b">
        <v>0</v>
      </c>
      <c r="Q181" t="str">
        <v>2.Solicitada</v>
      </c>
      <c r="R181" t="str">
        <v>Cards</v>
      </c>
      <c r="S181">
        <v>0</v>
      </c>
      <c r="T181" t="str">
        <v>N</v>
      </c>
    </row>
    <row r="182" spans="1:20">
      <c r="A182">
        <v>14</v>
      </c>
      <c r="B182" t="str">
        <v>Cards &amp; Payments</v>
      </c>
      <c r="C182" t="str">
        <v>Mapa</v>
      </c>
      <c r="D182">
        <v>0</v>
      </c>
      <c r="E182" t="str">
        <v>Cards y Payments</v>
      </c>
      <c r="F182" t="str">
        <v>Bancared</v>
      </c>
      <c r="G182" t="str">
        <v>Interconexión con terceros</v>
      </c>
      <c r="H182" t="str">
        <v>Interconexión con CCE, BCRP</v>
      </c>
      <c r="I182" t="str">
        <v>Técnica</v>
      </c>
      <c r="J182" t="str">
        <v>Alta</v>
      </c>
      <c r="K182" s="183">
        <v>46142</v>
      </c>
      <c r="L182" s="183">
        <v>0</v>
      </c>
      <c r="M182" s="188" t="str">
        <v>TBD</v>
      </c>
      <c r="N182">
        <v>0</v>
      </c>
      <c r="O182" t="str">
        <v>Hector Guerra</v>
      </c>
      <c r="P182" t="b">
        <v>1</v>
      </c>
      <c r="Q182" t="str">
        <v>3.En progreso</v>
      </c>
      <c r="R182" t="str">
        <v>Payments</v>
      </c>
      <c r="S182">
        <v>0</v>
      </c>
      <c r="T182" t="str">
        <v>S</v>
      </c>
    </row>
    <row r="183" spans="1:20">
      <c r="A183">
        <v>15</v>
      </c>
      <c r="B183" t="str">
        <v>Cards &amp; Payments</v>
      </c>
      <c r="C183" t="str">
        <v>Mapa</v>
      </c>
      <c r="D183">
        <v>0</v>
      </c>
      <c r="E183" t="str">
        <v>Core</v>
      </c>
      <c r="F183" t="str">
        <v>Synopsis</v>
      </c>
      <c r="G183" t="str">
        <v>Configuración de APM con Servidores DESA</v>
      </c>
      <c r="H183" t="str">
        <v>Permitirá la generación de reportería de TIN</v>
      </c>
      <c r="I183" t="str">
        <v>Técnica</v>
      </c>
      <c r="J183" t="str">
        <v>Medio</v>
      </c>
      <c r="K183" s="183">
        <v>46142</v>
      </c>
      <c r="L183" s="183">
        <v>0</v>
      </c>
      <c r="M183" s="188" t="str">
        <v>TBD</v>
      </c>
      <c r="N183">
        <v>0</v>
      </c>
      <c r="O183" t="str">
        <v>Leonel Popoca</v>
      </c>
      <c r="P183" t="b">
        <v>1</v>
      </c>
      <c r="Q183" t="str">
        <v>3.En progreso</v>
      </c>
      <c r="R183" t="str">
        <v>Payments</v>
      </c>
      <c r="S183">
        <v>0</v>
      </c>
      <c r="T183" t="str">
        <v>S</v>
      </c>
    </row>
    <row r="184" spans="1:20">
      <c r="A184">
        <v>16</v>
      </c>
      <c r="B184" t="str">
        <v>Cards &amp; Payments</v>
      </c>
      <c r="C184" t="str">
        <v>Mapa</v>
      </c>
      <c r="D184">
        <v>0</v>
      </c>
      <c r="E184" t="str">
        <v>Cards y Payments</v>
      </c>
      <c r="F184" t="str">
        <v>Infra México</v>
      </c>
      <c r="G184" t="str">
        <v>Diseño de Infraestructura para EDITRAN</v>
      </c>
      <c r="H184" t="str">
        <v>Para la configuración de EDITRAN (transferencias diferidas)</v>
      </c>
      <c r="I184" t="str">
        <v>Infraestructura</v>
      </c>
      <c r="J184" t="str">
        <v>Alta</v>
      </c>
      <c r="K184" s="183">
        <v>46101</v>
      </c>
      <c r="L184" s="183">
        <v>0</v>
      </c>
      <c r="M184" s="188">
        <v>46101</v>
      </c>
      <c r="N184">
        <v>0</v>
      </c>
      <c r="O184" t="str">
        <v>Leonel Popoca</v>
      </c>
      <c r="P184" t="b">
        <v>1</v>
      </c>
      <c r="Q184" t="str">
        <v>4.Resuelta</v>
      </c>
      <c r="R184" t="str">
        <v>Payments</v>
      </c>
      <c r="S184">
        <v>0</v>
      </c>
      <c r="T184" t="str">
        <v>S</v>
      </c>
    </row>
    <row r="185" spans="1:20">
      <c r="A185">
        <v>17</v>
      </c>
      <c r="B185" t="str">
        <v>Cards &amp; Payments</v>
      </c>
      <c r="C185" t="str">
        <v>Mapa</v>
      </c>
      <c r="D185">
        <v>0</v>
      </c>
      <c r="E185" t="str">
        <v>Cards y Payments</v>
      </c>
      <c r="F185" t="str">
        <v>Arquitectura México</v>
      </c>
      <c r="G185" t="str">
        <v>Diagrama de arquitectura para instalación de HSMs</v>
      </c>
      <c r="H185" t="str">
        <v>Instalación de equipos HSMs</v>
      </c>
      <c r="I185" t="str">
        <v>Arquitectura</v>
      </c>
      <c r="J185" t="str">
        <v>Alta</v>
      </c>
      <c r="K185" s="183">
        <v>46080</v>
      </c>
      <c r="L185" s="183">
        <v>0</v>
      </c>
      <c r="M185" s="188">
        <v>46080</v>
      </c>
      <c r="N185">
        <v>0</v>
      </c>
      <c r="O185" t="str">
        <v>Leonel Popoca</v>
      </c>
      <c r="P185" t="b">
        <v>1</v>
      </c>
      <c r="Q185" t="str">
        <v>4.Resuelta</v>
      </c>
      <c r="R185" t="str">
        <v>Cards</v>
      </c>
      <c r="S185">
        <v>0</v>
      </c>
      <c r="T185" t="str">
        <v>S</v>
      </c>
    </row>
    <row r="186" spans="1:20">
      <c r="A186">
        <v>18</v>
      </c>
      <c r="B186" t="str">
        <v>Cards &amp; Payments</v>
      </c>
      <c r="C186" t="str">
        <v>Mapa</v>
      </c>
      <c r="D186">
        <v>0</v>
      </c>
      <c r="E186" t="str">
        <v>Cards y Payments</v>
      </c>
      <c r="F186" t="str">
        <v>Infra México</v>
      </c>
      <c r="G186" t="str">
        <v>Entrega del SFTP para Agregados de Pagos</v>
      </c>
      <c r="H186" t="str">
        <v>Para reportería normativa a CCE y BCRP</v>
      </c>
      <c r="I186" t="str">
        <v>Técnica</v>
      </c>
      <c r="J186" t="str">
        <v>Alta</v>
      </c>
      <c r="K186" s="183">
        <v>46136</v>
      </c>
      <c r="L186" s="183">
        <v>0</v>
      </c>
      <c r="M186" s="188" t="str">
        <v>TBD</v>
      </c>
      <c r="N186">
        <v>0</v>
      </c>
      <c r="O186" t="str">
        <v>Leonel Popoca</v>
      </c>
      <c r="P186" t="b">
        <v>1</v>
      </c>
      <c r="Q186" t="str">
        <v>3.En progreso</v>
      </c>
      <c r="R186" t="str">
        <v>Payments</v>
      </c>
      <c r="S186">
        <v>0</v>
      </c>
      <c r="T186" t="str">
        <v>S</v>
      </c>
    </row>
    <row r="187" spans="1:20">
      <c r="A187">
        <v>19</v>
      </c>
      <c r="B187" t="str">
        <v>Cards &amp; Payments</v>
      </c>
      <c r="C187" t="str">
        <v>Mapa</v>
      </c>
      <c r="D187">
        <v>0</v>
      </c>
      <c r="E187" t="str">
        <v>Cards y Payments</v>
      </c>
      <c r="F187" t="str">
        <v>Infra México</v>
      </c>
      <c r="G187" t="str">
        <v>Cifrado HSM para TIN</v>
      </c>
      <c r="H187" t="str">
        <v>Cifrado de datos y firma digital para transferencias de alto y bajo valor</v>
      </c>
      <c r="I187" t="str">
        <v>Técnica</v>
      </c>
      <c r="J187" t="str">
        <v>Alta</v>
      </c>
      <c r="K187" s="183">
        <v>46142</v>
      </c>
      <c r="L187" s="183">
        <v>0</v>
      </c>
      <c r="M187" s="188">
        <v>46142</v>
      </c>
      <c r="N187">
        <v>0</v>
      </c>
      <c r="O187" t="str">
        <v>Leonel Popoca</v>
      </c>
      <c r="P187" t="b">
        <v>1</v>
      </c>
      <c r="Q187" t="str">
        <v>1.Identificada</v>
      </c>
      <c r="R187" t="str">
        <v>Payments</v>
      </c>
      <c r="S187">
        <v>0</v>
      </c>
      <c r="T187" t="str">
        <v>S</v>
      </c>
    </row>
    <row r="188" spans="1:20">
      <c r="A188">
        <v>20</v>
      </c>
      <c r="B188" t="str">
        <v>Cards &amp; Payments</v>
      </c>
      <c r="C188" t="str">
        <v>Mapa</v>
      </c>
      <c r="D188">
        <v>0</v>
      </c>
      <c r="E188" t="str">
        <v>Cards y Payments</v>
      </c>
      <c r="F188" t="str">
        <v>BB Integración</v>
      </c>
      <c r="G188" t="str">
        <v>Conexión con BB Integración y BB Canales Digitales</v>
      </c>
      <c r="H188" t="str">
        <v>Prueba de comunicación de APIs</v>
      </c>
      <c r="I188" t="str">
        <v>Técnica</v>
      </c>
      <c r="J188" t="str">
        <v>Alta</v>
      </c>
      <c r="K188" s="183">
        <v>46142</v>
      </c>
      <c r="L188" s="183">
        <v>0</v>
      </c>
      <c r="M188" s="188" t="str">
        <v>TBD</v>
      </c>
      <c r="N188">
        <v>0</v>
      </c>
      <c r="O188" t="str">
        <v>Jorge Paez</v>
      </c>
      <c r="P188" t="b">
        <v>1</v>
      </c>
      <c r="Q188" t="str">
        <v>2.Solicitada</v>
      </c>
      <c r="R188" t="str">
        <v>Payments</v>
      </c>
      <c r="S188">
        <v>0</v>
      </c>
      <c r="T188" t="str">
        <v>S</v>
      </c>
    </row>
    <row r="189" spans="1:20">
      <c r="A189">
        <v>21</v>
      </c>
      <c r="B189" t="str">
        <v>Cards &amp; Payments</v>
      </c>
      <c r="C189" t="str">
        <v>Mapa</v>
      </c>
      <c r="D189">
        <v>0</v>
      </c>
      <c r="E189" t="str">
        <v>Cards y Payments</v>
      </c>
      <c r="F189" t="str">
        <v>Infra México</v>
      </c>
      <c r="G189" t="str">
        <v>Instalación de aplicaciones y DB en servidores CCE + LBTR + EDITRAN</v>
      </c>
      <c r="H189" t="str">
        <v>Instalación de de las aplicaciones de las aplicaicones para la generacion de TIN</v>
      </c>
      <c r="I189" t="str">
        <v>Técnica</v>
      </c>
      <c r="J189" t="str">
        <v>Alta</v>
      </c>
      <c r="K189" s="183">
        <v>46142</v>
      </c>
      <c r="L189" s="183">
        <v>0</v>
      </c>
      <c r="M189" s="188">
        <v>46142</v>
      </c>
      <c r="N189">
        <v>0</v>
      </c>
      <c r="O189" t="str">
        <v>Hector Guerra</v>
      </c>
      <c r="P189" t="b">
        <v>1</v>
      </c>
      <c r="Q189" t="str">
        <v>3.En progreso</v>
      </c>
      <c r="R189" t="str">
        <v>Payments</v>
      </c>
      <c r="S189">
        <v>0</v>
      </c>
      <c r="T189" t="str">
        <v>S</v>
      </c>
    </row>
    <row r="190" spans="1:20">
      <c r="A190">
        <v>22</v>
      </c>
      <c r="B190" t="str">
        <v>Cards &amp; Payments</v>
      </c>
      <c r="C190" t="str">
        <v>Mapa</v>
      </c>
      <c r="D190">
        <v>0</v>
      </c>
      <c r="E190" t="str">
        <v>Cards y Payments</v>
      </c>
      <c r="F190" t="str">
        <v>Infra México</v>
      </c>
      <c r="G190" t="str">
        <v xml:space="preserve">Conexión de Agregador TIN con SMTP </v>
      </c>
      <c r="H190">
        <v>0</v>
      </c>
      <c r="I190" t="str">
        <v>Técnica</v>
      </c>
      <c r="J190" t="str">
        <v>Alta</v>
      </c>
      <c r="K190" s="183">
        <v>46142</v>
      </c>
      <c r="L190" s="183">
        <v>0</v>
      </c>
      <c r="M190" s="188" t="str">
        <v>TBD</v>
      </c>
      <c r="N190">
        <v>0</v>
      </c>
      <c r="O190" t="str">
        <v>Hector Guerra</v>
      </c>
      <c r="P190" t="b">
        <v>1</v>
      </c>
      <c r="Q190" t="str">
        <v>1.Identificada</v>
      </c>
      <c r="R190" t="str">
        <v>Payments</v>
      </c>
      <c r="S190">
        <v>0</v>
      </c>
      <c r="T190" t="str">
        <v>S</v>
      </c>
    </row>
    <row r="191" spans="1:20">
      <c r="A191">
        <v>23</v>
      </c>
      <c r="B191" t="str">
        <v>Cards &amp; Payments</v>
      </c>
      <c r="C191" t="str">
        <v>Mapa</v>
      </c>
      <c r="D191">
        <v>0</v>
      </c>
      <c r="E191" t="str">
        <v>Cards y Payments</v>
      </c>
      <c r="F191" t="str">
        <v>Infra México</v>
      </c>
      <c r="G191" t="str">
        <v>Configuración SFTP para Agregados de Pagos</v>
      </c>
      <c r="H191" t="str">
        <v>Para envio de reportería normativa a BCRP y CCE</v>
      </c>
      <c r="I191" t="str">
        <v>Técnica</v>
      </c>
      <c r="J191" t="str">
        <v>Alta</v>
      </c>
      <c r="K191" s="183">
        <v>46171</v>
      </c>
      <c r="L191" s="183">
        <v>0</v>
      </c>
      <c r="M191" s="188" t="str">
        <v>TBD</v>
      </c>
      <c r="N191">
        <v>0</v>
      </c>
      <c r="O191" t="str">
        <v>Leonel Popoca</v>
      </c>
      <c r="P191" t="b">
        <v>0</v>
      </c>
      <c r="Q191" t="str">
        <v>1.Identificada</v>
      </c>
      <c r="R191" t="str">
        <v>Payments</v>
      </c>
      <c r="S191">
        <v>0</v>
      </c>
      <c r="T191" t="str">
        <v>N</v>
      </c>
    </row>
    <row r="192" spans="1:20">
      <c r="A192">
        <v>24</v>
      </c>
      <c r="B192" t="str">
        <v>Cards &amp; Payments</v>
      </c>
      <c r="C192" t="str">
        <v>Mapa</v>
      </c>
      <c r="D192">
        <v>0</v>
      </c>
      <c r="E192" t="str">
        <v>Cards y Payments</v>
      </c>
      <c r="F192" t="str">
        <v>Unibanca</v>
      </c>
      <c r="G192" t="str">
        <v>Implementación de la ruta de emisión de TD (Unibanca)</v>
      </c>
      <c r="H192" t="str">
        <v>Ruta de emisión de TD (Unibanca)</v>
      </c>
      <c r="I192" t="str">
        <v>Técnica</v>
      </c>
      <c r="J192" t="str">
        <v>Alta</v>
      </c>
      <c r="K192" s="183">
        <v>46171</v>
      </c>
      <c r="L192" s="183">
        <v>0</v>
      </c>
      <c r="M192" s="188" t="str">
        <v>TBD</v>
      </c>
      <c r="N192">
        <v>0</v>
      </c>
      <c r="O192" t="str">
        <v>Geraldine Córdova</v>
      </c>
      <c r="P192" t="b">
        <v>0</v>
      </c>
      <c r="Q192" t="str">
        <v>1.Identificada</v>
      </c>
      <c r="R192" t="str">
        <v>Payments</v>
      </c>
      <c r="S192">
        <v>0</v>
      </c>
      <c r="T192" t="str">
        <v>N</v>
      </c>
    </row>
    <row r="193" spans="1:20">
      <c r="A193">
        <v>25</v>
      </c>
      <c r="B193" t="str">
        <v>Cards &amp; Payments</v>
      </c>
      <c r="C193" t="str">
        <v>Mapa</v>
      </c>
      <c r="D193">
        <v>0</v>
      </c>
      <c r="E193" t="str">
        <v>Cards y Payments</v>
      </c>
      <c r="F193" t="str">
        <v>Unibanca</v>
      </c>
      <c r="G193" t="str">
        <v>Intercambio de llaves + Cifrado de archivos (Unibanca)</v>
      </c>
      <c r="H193" t="str">
        <v>Archivos (Unibanca)</v>
      </c>
      <c r="I193" t="str">
        <v>Técnica</v>
      </c>
      <c r="J193" t="str">
        <v>Alta</v>
      </c>
      <c r="K193" s="183">
        <v>46171</v>
      </c>
      <c r="L193" s="183">
        <v>0</v>
      </c>
      <c r="M193" s="188" t="str">
        <v>TBD</v>
      </c>
      <c r="N193">
        <v>0</v>
      </c>
      <c r="O193" t="str">
        <v>Geraldine Córdova</v>
      </c>
      <c r="P193" t="b">
        <v>0</v>
      </c>
      <c r="Q193" t="str">
        <v>1.Identificada</v>
      </c>
      <c r="R193" t="str">
        <v>Payments</v>
      </c>
      <c r="S193">
        <v>0</v>
      </c>
      <c r="T193" t="str">
        <v>N</v>
      </c>
    </row>
    <row r="194" spans="1:20">
      <c r="A194">
        <v>1</v>
      </c>
      <c r="B194" t="str">
        <v>Migracion de datos</v>
      </c>
      <c r="C194" t="str">
        <v>Plan de tranferencia</v>
      </c>
      <c r="D194">
        <v>0</v>
      </c>
      <c r="E194" t="str">
        <v>Migración de datos</v>
      </c>
      <c r="F194" t="str">
        <v>Core</v>
      </c>
      <c r="G194" t="str">
        <v xml:space="preserve">Definición de archivos Core históricos  a migrar </v>
      </c>
      <c r="H194" t="str">
        <v>Se requiere confirmar: 
1) Desde que año se transferirá la información. 
2) Para cada uno de los años, si se transferirán archivos en formato mensual o anual
3) Si para el pase a producción, se debe de haber transferido algunos periodos de información, por temas regulatorios.</v>
      </c>
      <c r="I194" t="str">
        <v>Técnica</v>
      </c>
      <c r="J194" t="str">
        <v>Medio</v>
      </c>
      <c r="K194" s="183">
        <v>46101</v>
      </c>
      <c r="L194" s="183">
        <v>0</v>
      </c>
      <c r="M194" s="188">
        <v>0</v>
      </c>
      <c r="N194">
        <v>0</v>
      </c>
      <c r="O194" t="str">
        <v>Julio P.</v>
      </c>
      <c r="P194" t="b">
        <v>1</v>
      </c>
      <c r="Q194" t="str">
        <v>4.Resuelta</v>
      </c>
      <c r="R194" t="str">
        <v>Migración</v>
      </c>
      <c r="S194">
        <v>0</v>
      </c>
      <c r="T194" t="str">
        <v>S</v>
      </c>
    </row>
    <row r="195" spans="1:20">
      <c r="A195">
        <v>2</v>
      </c>
      <c r="B195" t="str">
        <v>Migracion de datos</v>
      </c>
      <c r="C195" t="str">
        <v>Plan de tranferencia</v>
      </c>
      <c r="D195">
        <v>0</v>
      </c>
      <c r="E195" t="str">
        <v>Migración de datos</v>
      </c>
      <c r="F195" t="str">
        <v>Core</v>
      </c>
      <c r="G195" t="str">
        <v xml:space="preserve">Definición de canal de transferencia de archivos Core históricos </v>
      </c>
      <c r="H195" t="str">
        <v>Se requiere confirmar si la transferencia se realizará a través del canal de transferencia definido para datos (Sterling), o por otro canal.</v>
      </c>
      <c r="I195" t="str">
        <v>Técnica</v>
      </c>
      <c r="J195" t="str">
        <v>Medio</v>
      </c>
      <c r="K195" s="183">
        <v>46142</v>
      </c>
      <c r="L195" s="183">
        <v>0</v>
      </c>
      <c r="M195" s="188">
        <v>46076</v>
      </c>
      <c r="N195" t="str">
        <v>Julio P.</v>
      </c>
      <c r="O195" t="str">
        <v>Julio P.</v>
      </c>
      <c r="P195" t="b">
        <v>1</v>
      </c>
      <c r="Q195" t="str">
        <v>3.En progreso</v>
      </c>
      <c r="R195" t="str">
        <v>Migración</v>
      </c>
      <c r="S195">
        <v>0</v>
      </c>
      <c r="T195" t="str">
        <v>S</v>
      </c>
    </row>
    <row r="196" spans="1:20">
      <c r="A196">
        <v>3</v>
      </c>
      <c r="B196" t="str">
        <v>Migracion de datos</v>
      </c>
      <c r="C196" t="str">
        <v>Req datos</v>
      </c>
      <c r="D196">
        <v>0</v>
      </c>
      <c r="E196" t="str">
        <v>Migración de datos</v>
      </c>
      <c r="F196" t="str">
        <v>Cards y Payments</v>
      </c>
      <c r="G196" t="str">
        <v>Identificación de requerimientos de datos BanTotal - Cards</v>
      </c>
      <c r="H196" t="str">
        <v>Se requiere identificar la data necesaria para la operación de las aplicaciones en desarrollo, para el caso de tablas Bantotal u otras.</v>
      </c>
      <c r="I196" t="str">
        <v>Técnica</v>
      </c>
      <c r="J196" t="str">
        <v>Medio</v>
      </c>
      <c r="K196" s="183">
        <v>46112</v>
      </c>
      <c r="L196" s="183">
        <v>46129</v>
      </c>
      <c r="M196" s="188">
        <v>46129</v>
      </c>
      <c r="N196">
        <v>0</v>
      </c>
      <c r="O196" t="str">
        <v>Fredy C.</v>
      </c>
      <c r="P196" t="b">
        <v>1</v>
      </c>
      <c r="Q196" t="str">
        <v>3.En progreso</v>
      </c>
      <c r="R196" t="str">
        <v>Migración</v>
      </c>
      <c r="S196">
        <v>0</v>
      </c>
      <c r="T196" t="str">
        <v>S</v>
      </c>
    </row>
    <row r="197" spans="1:20">
      <c r="A197">
        <v>4</v>
      </c>
      <c r="B197" t="str">
        <v>Migracion de datos</v>
      </c>
      <c r="C197" t="str">
        <v>Diagrama</v>
      </c>
      <c r="D197">
        <v>0</v>
      </c>
      <c r="E197" t="str">
        <v>Migración de datos</v>
      </c>
      <c r="F197" t="str">
        <v>Canales Digitales</v>
      </c>
      <c r="G197" t="str">
        <v>Diagrama de Migración - Canales Digitales</v>
      </c>
      <c r="H197" t="str">
        <v>Se requiere contar con el diagrama que incluye el flujo de datos para la migración hacia las aplicaciones, indicando los componentes que intervienen en la migración.</v>
      </c>
      <c r="I197" t="str">
        <v>Técnica</v>
      </c>
      <c r="J197" t="str">
        <v>Medio</v>
      </c>
      <c r="K197" s="183">
        <v>46299</v>
      </c>
      <c r="L197" s="183">
        <v>0</v>
      </c>
      <c r="M197" s="188">
        <v>0</v>
      </c>
      <c r="N197">
        <v>0</v>
      </c>
      <c r="O197" t="str">
        <v>Henry J.</v>
      </c>
      <c r="P197" t="b">
        <v>0</v>
      </c>
      <c r="Q197" t="str">
        <v>3.En progreso</v>
      </c>
      <c r="R197" t="str">
        <v>Migración</v>
      </c>
      <c r="S197">
        <v>0</v>
      </c>
      <c r="T197" t="str">
        <v>N</v>
      </c>
    </row>
    <row r="198" spans="1:20">
      <c r="A198">
        <v>5</v>
      </c>
      <c r="B198" t="str">
        <v>Migracion de datos</v>
      </c>
      <c r="C198" t="str">
        <v>Plan de tranferencia</v>
      </c>
      <c r="D198">
        <v>0</v>
      </c>
      <c r="E198" t="str">
        <v>Migración de datos</v>
      </c>
      <c r="F198" t="str">
        <v>Canales Digitales</v>
      </c>
      <c r="G198" t="str">
        <v>Definición de estrategia de migración de datos - Canales Digitales</v>
      </c>
      <c r="H198" t="str">
        <v>Se requiere establecer la estrategia de migración de datos para las aplicaciones.</v>
      </c>
      <c r="I198" t="str">
        <v>Técnica</v>
      </c>
      <c r="J198" t="str">
        <v>Medio</v>
      </c>
      <c r="K198" s="183">
        <v>46299</v>
      </c>
      <c r="L198" s="183">
        <v>0</v>
      </c>
      <c r="M198" s="188">
        <v>0</v>
      </c>
      <c r="N198">
        <v>0</v>
      </c>
      <c r="O198" t="str">
        <v>Henry J.</v>
      </c>
      <c r="P198" t="b">
        <v>0</v>
      </c>
      <c r="Q198" t="str">
        <v>4.Resuelta</v>
      </c>
      <c r="R198" t="str">
        <v>Migración</v>
      </c>
      <c r="S198">
        <v>0</v>
      </c>
      <c r="T198" t="str">
        <v>N</v>
      </c>
    </row>
    <row r="199" spans="1:20">
      <c r="A199">
        <v>6</v>
      </c>
      <c r="B199" t="str">
        <v>Migracion de datos</v>
      </c>
      <c r="C199" t="str">
        <v>Req datos</v>
      </c>
      <c r="D199">
        <v>0</v>
      </c>
      <c r="E199" t="str">
        <v>Migración de datos</v>
      </c>
      <c r="F199" t="str">
        <v>Cyber &amp; Fraud</v>
      </c>
      <c r="G199" t="str">
        <v>Identificación de requerimientos de datos BanTotal - Cyber &amp; Fraud</v>
      </c>
      <c r="H199" t="str">
        <v>Se requiere identificar la data necesaria para la operación de las aplicaciones, para el caso de tablas Bantotal u otras.</v>
      </c>
      <c r="I199" t="str">
        <v>Técnica</v>
      </c>
      <c r="J199" t="str">
        <v>Medio</v>
      </c>
      <c r="K199" s="183">
        <v>46112</v>
      </c>
      <c r="L199" s="183">
        <v>0</v>
      </c>
      <c r="M199" s="188">
        <v>0</v>
      </c>
      <c r="N199">
        <v>0</v>
      </c>
      <c r="O199" t="str">
        <v>Cesar V.</v>
      </c>
      <c r="P199" t="b">
        <v>1</v>
      </c>
      <c r="Q199" t="str">
        <v>4.Resuelta</v>
      </c>
      <c r="R199" t="str">
        <v>Migración</v>
      </c>
      <c r="S199">
        <v>0</v>
      </c>
      <c r="T199" t="str">
        <v>S</v>
      </c>
    </row>
    <row r="200" spans="1:20">
      <c r="A200">
        <v>7</v>
      </c>
      <c r="B200" t="str">
        <v>Migracion de datos</v>
      </c>
      <c r="C200" t="str">
        <v>Req datos</v>
      </c>
      <c r="D200">
        <v>0</v>
      </c>
      <c r="E200" t="str">
        <v>Migración de datos</v>
      </c>
      <c r="F200" t="str">
        <v>Canales Asistidos</v>
      </c>
      <c r="G200" t="str">
        <v>Identificación de requerimientos de datos BanTotal - Cyberfinancial</v>
      </c>
      <c r="H200" t="str">
        <v>Se requiere identificar la data necesaria para la operación de las aplicaciones en desarrollo, en caso de requerirse tablas Bantotal u otras.
Confirmar las tablas que necesitarán.</v>
      </c>
      <c r="I200" t="str">
        <v>Técnica</v>
      </c>
      <c r="J200" t="str">
        <v>Medio</v>
      </c>
      <c r="K200" s="183">
        <v>46112</v>
      </c>
      <c r="L200" s="183">
        <v>0</v>
      </c>
      <c r="M200" s="188">
        <v>0</v>
      </c>
      <c r="N200">
        <v>0</v>
      </c>
      <c r="O200" t="str">
        <v>Sonia B.</v>
      </c>
      <c r="P200" t="b">
        <v>1</v>
      </c>
      <c r="Q200" t="str">
        <v>4.Resuelta</v>
      </c>
      <c r="R200" t="str">
        <v>Migración</v>
      </c>
      <c r="S200">
        <v>0</v>
      </c>
      <c r="T200" t="str">
        <v>S</v>
      </c>
    </row>
    <row r="201" spans="1:20">
      <c r="A201">
        <v>8</v>
      </c>
      <c r="B201" t="str">
        <v>Migracion de datos</v>
      </c>
      <c r="C201" t="str">
        <v>Plan de tranferencia</v>
      </c>
      <c r="D201">
        <v>0</v>
      </c>
      <c r="E201" t="str">
        <v>Migración de datos</v>
      </c>
      <c r="F201" t="str">
        <v>Datos</v>
      </c>
      <c r="G201" t="str">
        <v>Confirmación de BD analíticas y file servers de usuarios - Inteligencia Comercial</v>
      </c>
      <c r="H201" t="str">
        <v>Se requiere validar el listado general de bases de datos y file servers que está en el compartido</v>
      </c>
      <c r="I201" t="str">
        <v>Técnica</v>
      </c>
      <c r="J201" t="str">
        <v>Medio</v>
      </c>
      <c r="K201" s="183">
        <v>46127</v>
      </c>
      <c r="L201" s="183">
        <v>0</v>
      </c>
      <c r="M201" s="188">
        <v>0</v>
      </c>
      <c r="N201">
        <v>0</v>
      </c>
      <c r="O201" t="str">
        <v>Jean A.</v>
      </c>
      <c r="P201" t="b">
        <v>1</v>
      </c>
      <c r="Q201" t="str">
        <v>3.En progreso</v>
      </c>
      <c r="R201" t="str">
        <v>Migración</v>
      </c>
      <c r="S201">
        <v>0</v>
      </c>
      <c r="T201" t="str">
        <v>S</v>
      </c>
    </row>
    <row r="202" spans="1:20">
      <c r="A202">
        <v>9</v>
      </c>
      <c r="B202" t="str">
        <v>Migracion de datos</v>
      </c>
      <c r="C202" t="str">
        <v>Plan de tranferencia</v>
      </c>
      <c r="D202">
        <v>0</v>
      </c>
      <c r="E202" t="str">
        <v>Migración de datos</v>
      </c>
      <c r="F202" t="str">
        <v>Datos</v>
      </c>
      <c r="G202" t="str">
        <v>Confirmación de BD analíticas y file servers de usuarios - Riesgos y otros</v>
      </c>
      <c r="H202" t="str">
        <v>Se requiere validar el listado general de bases de datos y file servers que está en el compartido</v>
      </c>
      <c r="I202" t="str">
        <v>Técnica</v>
      </c>
      <c r="J202" t="str">
        <v>Medio</v>
      </c>
      <c r="K202" s="183">
        <v>46127</v>
      </c>
      <c r="L202" s="183">
        <v>0</v>
      </c>
      <c r="M202" s="188">
        <v>0</v>
      </c>
      <c r="N202">
        <v>0</v>
      </c>
      <c r="O202" t="str">
        <v>Jean A.</v>
      </c>
      <c r="P202" t="b">
        <v>1</v>
      </c>
      <c r="Q202" t="str">
        <v>3.En progreso</v>
      </c>
      <c r="R202" t="str">
        <v>Migración</v>
      </c>
      <c r="S202">
        <v>0</v>
      </c>
      <c r="T202" t="str">
        <v>S</v>
      </c>
    </row>
    <row r="203" spans="1:20">
      <c r="A203">
        <v>10</v>
      </c>
      <c r="B203" t="str">
        <v>Migracion de datos</v>
      </c>
      <c r="C203" t="str">
        <v>Plan de tranferencia</v>
      </c>
      <c r="D203">
        <v>0</v>
      </c>
      <c r="E203" t="str">
        <v>Migración de datos</v>
      </c>
      <c r="F203" t="str">
        <v>Datos</v>
      </c>
      <c r="G203" t="str">
        <v>Confirmación de BD analíticas y file servers de usuarios - Finanzas</v>
      </c>
      <c r="H203" t="str">
        <v>Se requiere validar el listado general de bases de datos y file servers que está en el compartido</v>
      </c>
      <c r="I203" t="str">
        <v>Técnica</v>
      </c>
      <c r="J203" t="str">
        <v>Medio</v>
      </c>
      <c r="K203" s="183">
        <v>46127</v>
      </c>
      <c r="L203" s="183">
        <v>0</v>
      </c>
      <c r="M203" s="188">
        <v>0</v>
      </c>
      <c r="N203">
        <v>0</v>
      </c>
      <c r="O203" t="str">
        <v>Jean A.</v>
      </c>
      <c r="P203" t="b">
        <v>1</v>
      </c>
      <c r="Q203" t="str">
        <v>3.En progreso</v>
      </c>
      <c r="R203" t="str">
        <v>Migración</v>
      </c>
      <c r="S203">
        <v>0</v>
      </c>
      <c r="T203" t="str">
        <v>S</v>
      </c>
    </row>
    <row r="204" spans="1:20">
      <c r="A204">
        <v>11</v>
      </c>
      <c r="B204" t="str">
        <v>Migracion de datos</v>
      </c>
      <c r="C204" t="str">
        <v>Req datos</v>
      </c>
      <c r="D204">
        <v>0</v>
      </c>
      <c r="E204" t="str">
        <v>Migración de datos</v>
      </c>
      <c r="F204" t="str">
        <v>Aplicaciones de Soporte</v>
      </c>
      <c r="G204" t="str">
        <v>Identificación de requerimientos de datos Bantotal - Aplicaciones de Soporte</v>
      </c>
      <c r="H204" t="str">
        <v>Se requiere identificar la data necesaria para la operación de las aplicaciones en desarrollo, en caso de requerirse tablas Bantotal u otras.</v>
      </c>
      <c r="I204" t="str">
        <v>Técnica</v>
      </c>
      <c r="J204" t="str">
        <v>Medio</v>
      </c>
      <c r="K204" s="183">
        <v>46112</v>
      </c>
      <c r="L204" s="183">
        <v>0</v>
      </c>
      <c r="M204" s="188">
        <v>0</v>
      </c>
      <c r="N204">
        <v>0</v>
      </c>
      <c r="O204" t="str">
        <v>Jaime H.</v>
      </c>
      <c r="P204" t="b">
        <v>1</v>
      </c>
      <c r="Q204" t="str">
        <v>4.Resuelta</v>
      </c>
      <c r="R204" t="str">
        <v>Migración</v>
      </c>
      <c r="S204">
        <v>0</v>
      </c>
      <c r="T204" t="str">
        <v>S</v>
      </c>
    </row>
    <row r="205" spans="1:20">
      <c r="A205">
        <v>12</v>
      </c>
      <c r="B205" t="str">
        <v>Migracion de datos</v>
      </c>
      <c r="C205" t="str">
        <v>Plan de tranferencia</v>
      </c>
      <c r="D205">
        <v>0</v>
      </c>
      <c r="E205" t="str">
        <v>Migración de datos</v>
      </c>
      <c r="F205" t="str">
        <v>Core</v>
      </c>
      <c r="G205" t="str">
        <v>Definición de estrategia de migración de datos Online- Core</v>
      </c>
      <c r="H205" t="str">
        <v>Se requiere establecer la estrategia de migración de los archivos txt Online en estructura de paquetes:
1. Paquete 1 contiene las tablas : ...
2. Se considera en los paquetes tabals que otras aplicaciones van a rerquerir? seguros, cards, aml, cyber, etc.</v>
      </c>
      <c r="I205" t="str">
        <v>Técnica</v>
      </c>
      <c r="J205" t="str">
        <v>Medio</v>
      </c>
      <c r="K205" s="183">
        <v>46081</v>
      </c>
      <c r="L205" s="183">
        <v>0</v>
      </c>
      <c r="M205" s="188">
        <v>0</v>
      </c>
      <c r="N205">
        <v>0</v>
      </c>
      <c r="O205" t="str">
        <v>Julio P.</v>
      </c>
      <c r="P205" t="b">
        <v>1</v>
      </c>
      <c r="Q205" t="str">
        <v>4.Resuelta</v>
      </c>
      <c r="R205" t="str">
        <v>Migración</v>
      </c>
      <c r="S205">
        <v>0</v>
      </c>
      <c r="T205" t="str">
        <v>S</v>
      </c>
    </row>
    <row r="206" spans="1:20">
      <c r="A206">
        <v>13</v>
      </c>
      <c r="B206" t="str">
        <v>Migracion de datos</v>
      </c>
      <c r="C206" t="str">
        <v>Req datos</v>
      </c>
      <c r="D206">
        <v>0</v>
      </c>
      <c r="E206" t="str">
        <v>Migración de datos</v>
      </c>
      <c r="F206" t="str">
        <v>Core</v>
      </c>
      <c r="G206" t="str">
        <v>Revisión de tablas principales y campos sumatorios para validación</v>
      </c>
      <c r="H206" t="str">
        <v>Validar el listado de tablas principales para las aplicaciones AS400, así como proponer los campos sumatorios para validación.</v>
      </c>
      <c r="I206" t="str">
        <v>Técnica</v>
      </c>
      <c r="J206" t="str">
        <v>Medio</v>
      </c>
      <c r="K206" s="183">
        <v>46112</v>
      </c>
      <c r="L206" s="183">
        <v>0</v>
      </c>
      <c r="M206" s="188">
        <v>0</v>
      </c>
      <c r="N206">
        <v>0</v>
      </c>
      <c r="O206" t="str">
        <v>Julio P.</v>
      </c>
      <c r="P206" t="b">
        <v>1</v>
      </c>
      <c r="Q206" t="str">
        <v>4.Resuelta</v>
      </c>
      <c r="R206" t="str">
        <v>Migración</v>
      </c>
      <c r="S206">
        <v>0</v>
      </c>
      <c r="T206" t="str">
        <v>S</v>
      </c>
    </row>
    <row r="207" spans="1:20">
      <c r="A207">
        <v>14</v>
      </c>
      <c r="B207" t="str">
        <v>Migracion de datos</v>
      </c>
      <c r="C207" t="str">
        <v>Diagrama</v>
      </c>
      <c r="D207">
        <v>0</v>
      </c>
      <c r="E207" t="str">
        <v>Migración de datos</v>
      </c>
      <c r="F207" t="str">
        <v>Core</v>
      </c>
      <c r="G207" t="str">
        <v>Diagrama de Migración - Core</v>
      </c>
      <c r="H207" t="str">
        <v>Se requiere elaborar el diagrama de migración, indicando el flujo de la data, para el caso Online e histórico.</v>
      </c>
      <c r="I207" t="str">
        <v>Técnica</v>
      </c>
      <c r="J207" t="str">
        <v>Medio</v>
      </c>
      <c r="K207" s="183">
        <v>46101</v>
      </c>
      <c r="L207" s="183">
        <v>0</v>
      </c>
      <c r="M207" s="188">
        <v>0</v>
      </c>
      <c r="N207">
        <v>0</v>
      </c>
      <c r="O207" t="str">
        <v>Julio P.</v>
      </c>
      <c r="P207" t="b">
        <v>1</v>
      </c>
      <c r="Q207" t="str">
        <v>4.Resuelta</v>
      </c>
      <c r="R207" t="str">
        <v>Migración</v>
      </c>
      <c r="S207">
        <v>0</v>
      </c>
      <c r="T207" t="str">
        <v>S</v>
      </c>
    </row>
    <row r="208" spans="1:20">
      <c r="A208">
        <v>15</v>
      </c>
      <c r="B208" t="str">
        <v>Migracion de datos</v>
      </c>
      <c r="C208" t="str">
        <v>Diagrama</v>
      </c>
      <c r="D208">
        <v>0</v>
      </c>
      <c r="E208" t="str">
        <v>Migración de datos</v>
      </c>
      <c r="F208" t="str">
        <v>Canales Asistidos</v>
      </c>
      <c r="G208" t="str">
        <v>Diagrama de Migración - Canales Asistidos</v>
      </c>
      <c r="H208" t="str">
        <v>Se requiere actualizar el diagrama que incluye el flujo de datos para la migración hacia las aplicaciones, indicando los servidores al que se transferirá la data. Mesa de Concesiones</v>
      </c>
      <c r="I208" t="str">
        <v>Técnica</v>
      </c>
      <c r="J208" t="str">
        <v>Medio</v>
      </c>
      <c r="K208" s="183">
        <v>46112</v>
      </c>
      <c r="L208" s="183">
        <v>0</v>
      </c>
      <c r="M208" s="188">
        <v>46129</v>
      </c>
      <c r="N208">
        <v>0</v>
      </c>
      <c r="O208" t="str">
        <v>Sonia B.</v>
      </c>
      <c r="P208" t="b">
        <v>1</v>
      </c>
      <c r="Q208" t="str">
        <v>3.En progreso</v>
      </c>
      <c r="R208" t="str">
        <v>Migración</v>
      </c>
      <c r="S208">
        <v>0</v>
      </c>
      <c r="T208" t="str">
        <v>S</v>
      </c>
    </row>
    <row r="209" spans="1:20">
      <c r="A209">
        <v>16</v>
      </c>
      <c r="B209" t="str">
        <v>Migracion de datos</v>
      </c>
      <c r="C209" t="str">
        <v>Plan de tranferencia</v>
      </c>
      <c r="D209">
        <v>0</v>
      </c>
      <c r="E209" t="str">
        <v>Migración de datos</v>
      </c>
      <c r="F209" t="str">
        <v>Canales Asistidos</v>
      </c>
      <c r="G209" t="str">
        <v>Estrategia de migración de datos - Cyberfinancial</v>
      </c>
      <c r="H209" t="str">
        <v>Se requiere establecer la estrategia de migración de datos para las aplicaciones.</v>
      </c>
      <c r="I209" t="str">
        <v>Técnica</v>
      </c>
      <c r="J209" t="str">
        <v>Medio</v>
      </c>
      <c r="K209" s="183">
        <v>46122</v>
      </c>
      <c r="L209" s="183">
        <v>0</v>
      </c>
      <c r="M209" s="188">
        <v>0</v>
      </c>
      <c r="N209">
        <v>0</v>
      </c>
      <c r="O209" t="str">
        <v>Sonia B.</v>
      </c>
      <c r="P209" t="b">
        <v>1</v>
      </c>
      <c r="Q209" t="str">
        <v>4.Resuelta</v>
      </c>
      <c r="R209" t="str">
        <v>Migración</v>
      </c>
      <c r="S209">
        <v>0</v>
      </c>
      <c r="T209" t="str">
        <v>S</v>
      </c>
    </row>
    <row r="210" spans="1:20">
      <c r="A210">
        <v>17</v>
      </c>
      <c r="B210" t="str">
        <v>Migracion de datos</v>
      </c>
      <c r="C210" t="str">
        <v>Diagrama</v>
      </c>
      <c r="D210">
        <v>0</v>
      </c>
      <c r="E210" t="str">
        <v>Migración de datos</v>
      </c>
      <c r="F210" t="str">
        <v>Procesos</v>
      </c>
      <c r="G210" t="str">
        <v>Diagrama de Migración - Procesos</v>
      </c>
      <c r="H210" t="str">
        <v>Se requiere actualizar el diagrama que incluye el flujo de datos para la migración hacia las aplicaciones, indicando los servidores al que se transferirá la data.</v>
      </c>
      <c r="I210" t="str">
        <v>Técnica</v>
      </c>
      <c r="J210" t="str">
        <v>Medio</v>
      </c>
      <c r="K210" s="183">
        <v>46081</v>
      </c>
      <c r="L210" s="183">
        <v>0</v>
      </c>
      <c r="M210" s="188">
        <v>46267</v>
      </c>
      <c r="N210">
        <v>0</v>
      </c>
      <c r="O210" t="str">
        <v>Sonia B.</v>
      </c>
      <c r="P210" t="b">
        <v>1</v>
      </c>
      <c r="Q210" t="str">
        <v>4.Resuelta</v>
      </c>
      <c r="R210" t="str">
        <v>Migración</v>
      </c>
      <c r="S210">
        <v>0</v>
      </c>
      <c r="T210" t="str">
        <v>S</v>
      </c>
    </row>
    <row r="211" spans="1:20">
      <c r="A211">
        <v>18</v>
      </c>
      <c r="B211" t="str">
        <v>Migracion de datos</v>
      </c>
      <c r="C211" t="str">
        <v>Plan de tranferencia</v>
      </c>
      <c r="D211">
        <v>0</v>
      </c>
      <c r="E211" t="str">
        <v>Migración de datos</v>
      </c>
      <c r="F211" t="str">
        <v>Procesos</v>
      </c>
      <c r="G211" t="str">
        <v>Definición de estrategia de migración de datos - Procesos</v>
      </c>
      <c r="H211" t="str">
        <v>Se requiere establecer la estrategia de migración de datos para las aplicaciones.</v>
      </c>
      <c r="I211" t="str">
        <v>Técnica</v>
      </c>
      <c r="J211" t="str">
        <v>Medio</v>
      </c>
      <c r="K211" s="183">
        <v>46101</v>
      </c>
      <c r="L211" s="183">
        <v>0</v>
      </c>
      <c r="M211" s="188">
        <v>0</v>
      </c>
      <c r="N211">
        <v>0</v>
      </c>
      <c r="O211" t="str">
        <v>Sonia B.</v>
      </c>
      <c r="P211" t="b">
        <v>1</v>
      </c>
      <c r="Q211" t="str">
        <v>4.Resuelta</v>
      </c>
      <c r="R211" t="str">
        <v>Migración</v>
      </c>
      <c r="S211">
        <v>0</v>
      </c>
      <c r="T211" t="str">
        <v>S</v>
      </c>
    </row>
    <row r="212" spans="1:20">
      <c r="A212">
        <v>19</v>
      </c>
      <c r="B212" t="str">
        <v>Migracion de datos</v>
      </c>
      <c r="C212" t="str">
        <v>Diagrama</v>
      </c>
      <c r="D212">
        <v>0</v>
      </c>
      <c r="E212" t="str">
        <v>Migración de datos</v>
      </c>
      <c r="F212" t="str">
        <v>Cards y Payments</v>
      </c>
      <c r="G212" t="str">
        <v>Diagrama de Migración - Cards</v>
      </c>
      <c r="H212" t="str">
        <v>Se requiere establecer la estrategia de migración de datos para las aplicaciones.</v>
      </c>
      <c r="I212" t="str">
        <v>Técnica</v>
      </c>
      <c r="J212" t="str">
        <v>Medio</v>
      </c>
      <c r="K212" s="183">
        <v>46112</v>
      </c>
      <c r="L212" s="183">
        <v>0</v>
      </c>
      <c r="M212" s="188">
        <v>46129</v>
      </c>
      <c r="N212">
        <v>0</v>
      </c>
      <c r="O212" t="str">
        <v>Fredy C.</v>
      </c>
      <c r="P212" t="b">
        <v>1</v>
      </c>
      <c r="Q212" t="str">
        <v>3.En progreso</v>
      </c>
      <c r="R212" t="str">
        <v>Migración</v>
      </c>
      <c r="S212">
        <v>0</v>
      </c>
      <c r="T212" t="str">
        <v>S</v>
      </c>
    </row>
    <row r="213" spans="1:20">
      <c r="A213">
        <v>20</v>
      </c>
      <c r="B213" t="str">
        <v>Migracion de datos</v>
      </c>
      <c r="C213" t="str">
        <v>Plan de tranferencia</v>
      </c>
      <c r="D213">
        <v>0</v>
      </c>
      <c r="E213" t="str">
        <v>Migración de datos</v>
      </c>
      <c r="F213" t="str">
        <v>Procesos</v>
      </c>
      <c r="G213" t="str">
        <v>Definición de estrategia de migración de archivos OnDemand</v>
      </c>
      <c r="H213" t="str">
        <v>Se requiere establecer la estrategia de migración para los archivos.</v>
      </c>
      <c r="I213" t="str">
        <v>Técnica</v>
      </c>
      <c r="J213" t="str">
        <v>Medio</v>
      </c>
      <c r="K213" s="183">
        <v>46101</v>
      </c>
      <c r="L213" s="183">
        <v>46142</v>
      </c>
      <c r="M213" s="188">
        <v>46142</v>
      </c>
      <c r="N213">
        <v>0</v>
      </c>
      <c r="O213" t="str">
        <v>Sonia B.</v>
      </c>
      <c r="P213" t="b">
        <v>1</v>
      </c>
      <c r="Q213" t="str">
        <v>4.Resuelta</v>
      </c>
      <c r="R213" t="str">
        <v>Migración</v>
      </c>
      <c r="S213">
        <v>0</v>
      </c>
      <c r="T213" t="str">
        <v>S</v>
      </c>
    </row>
    <row r="214" spans="1:20">
      <c r="A214">
        <v>21</v>
      </c>
      <c r="B214" t="str">
        <v>Migracion de datos</v>
      </c>
      <c r="C214" t="str">
        <v>Diagrama</v>
      </c>
      <c r="D214">
        <v>0</v>
      </c>
      <c r="E214" t="str">
        <v>Migración de datos</v>
      </c>
      <c r="F214" t="str">
        <v>Aplicaciones de Soporte</v>
      </c>
      <c r="G214" t="str">
        <v>Diagrama de Migración - Aplicaciones de soporte</v>
      </c>
      <c r="H214" t="str">
        <v>Se requiere contar con el diagrama que incluye el flujo de datos para la migración hacia las aplicaciones, indicando los servidores al que se transferirá la data.</v>
      </c>
      <c r="I214" t="str">
        <v>Técnica</v>
      </c>
      <c r="J214" t="str">
        <v>Medio</v>
      </c>
      <c r="K214" s="183">
        <v>46112</v>
      </c>
      <c r="L214" s="183">
        <v>0</v>
      </c>
      <c r="M214" s="188">
        <v>46142</v>
      </c>
      <c r="N214">
        <v>0</v>
      </c>
      <c r="O214" t="str">
        <v>Jaime H.</v>
      </c>
      <c r="P214" t="b">
        <v>1</v>
      </c>
      <c r="Q214" t="str">
        <v>4.Resuelta</v>
      </c>
      <c r="R214" t="str">
        <v>Migración</v>
      </c>
      <c r="S214">
        <v>0</v>
      </c>
      <c r="T214" t="str">
        <v>S</v>
      </c>
    </row>
    <row r="215" spans="1:20">
      <c r="A215">
        <v>22</v>
      </c>
      <c r="B215" t="str">
        <v>Migracion de datos</v>
      </c>
      <c r="C215" t="str">
        <v>Plan de tranferencia</v>
      </c>
      <c r="D215">
        <v>0</v>
      </c>
      <c r="E215" t="str">
        <v>Migración de datos</v>
      </c>
      <c r="F215" t="str">
        <v>Aplicaciones de Soporte</v>
      </c>
      <c r="G215" t="str">
        <v>Definición de estrategia de migración de datos - Aplicaciones de soporte</v>
      </c>
      <c r="H215" t="str">
        <v>Se requiere establecer la estrategia de migración de datos para las aplicaciones.</v>
      </c>
      <c r="I215" t="str">
        <v>Técnica</v>
      </c>
      <c r="J215" t="str">
        <v>Medio</v>
      </c>
      <c r="K215" s="183">
        <v>46112</v>
      </c>
      <c r="L215" s="183">
        <v>0</v>
      </c>
      <c r="M215" s="188">
        <v>0</v>
      </c>
      <c r="N215">
        <v>0</v>
      </c>
      <c r="O215" t="str">
        <v>Jaime H.</v>
      </c>
      <c r="P215" t="b">
        <v>1</v>
      </c>
      <c r="Q215" t="str">
        <v>4.Resuelta</v>
      </c>
      <c r="R215" t="str">
        <v>Migración</v>
      </c>
      <c r="S215">
        <v>0</v>
      </c>
      <c r="T215" t="str">
        <v>S</v>
      </c>
    </row>
    <row r="216" spans="1:20">
      <c r="A216">
        <v>23</v>
      </c>
      <c r="B216" t="str">
        <v>Migracion de datos</v>
      </c>
      <c r="C216" t="str">
        <v>Req datos</v>
      </c>
      <c r="D216">
        <v>0</v>
      </c>
      <c r="E216" t="str">
        <v>Migración de datos</v>
      </c>
      <c r="F216" t="str">
        <v>Core</v>
      </c>
      <c r="G216" t="str">
        <v>Identificación de requerimientos de datos BanTotal - SSM (Seguros)</v>
      </c>
      <c r="H216" t="str">
        <v>Se requiere identificar la data necesaria para la operación de las aplicaciones en desarrollo, en caso de requerirse tablas Bantotal u otras.
Solicitado a Luis Huaman por correo.</v>
      </c>
      <c r="I216" t="str">
        <v>Técnica</v>
      </c>
      <c r="J216" t="str">
        <v>Medio</v>
      </c>
      <c r="K216" s="183">
        <v>46142</v>
      </c>
      <c r="L216" s="183">
        <v>0</v>
      </c>
      <c r="M216" s="188">
        <v>0</v>
      </c>
      <c r="N216">
        <v>0</v>
      </c>
      <c r="O216" t="str">
        <v>Julio P.</v>
      </c>
      <c r="P216" t="b">
        <v>1</v>
      </c>
      <c r="Q216" t="str">
        <v>4.Resuelta</v>
      </c>
      <c r="R216" t="str">
        <v>Migración</v>
      </c>
      <c r="S216">
        <v>0</v>
      </c>
      <c r="T216" t="str">
        <v>S</v>
      </c>
    </row>
    <row r="217" spans="1:20">
      <c r="A217">
        <v>24</v>
      </c>
      <c r="B217" t="str">
        <v>Migracion de datos</v>
      </c>
      <c r="C217" t="str">
        <v>Diagrama</v>
      </c>
      <c r="D217">
        <v>0</v>
      </c>
      <c r="E217" t="str">
        <v>Migración de datos</v>
      </c>
      <c r="F217" t="str">
        <v>Core</v>
      </c>
      <c r="G217" t="str">
        <v>Diagrama de Migración -  SSM (Seguros)</v>
      </c>
      <c r="H217" t="str">
        <v>Se requiere contar con el diagrama que incluye el flujo de datos para la migración hacia las aplicaciones, indicando los servidores al que se transferirá la data.</v>
      </c>
      <c r="I217" t="str">
        <v>Técnica</v>
      </c>
      <c r="J217" t="str">
        <v>Medio</v>
      </c>
      <c r="K217" s="183">
        <v>46142</v>
      </c>
      <c r="L217" s="183">
        <v>0</v>
      </c>
      <c r="M217" s="188">
        <v>46142</v>
      </c>
      <c r="N217">
        <v>0</v>
      </c>
      <c r="O217" t="str">
        <v>Julio P.</v>
      </c>
      <c r="P217" t="b">
        <v>1</v>
      </c>
      <c r="Q217" t="str">
        <v>3.En progreso</v>
      </c>
      <c r="R217" t="str">
        <v>Migración</v>
      </c>
      <c r="S217">
        <v>0</v>
      </c>
      <c r="T217" t="str">
        <v>S</v>
      </c>
    </row>
    <row r="218" spans="1:20">
      <c r="A218">
        <v>25</v>
      </c>
      <c r="B218" t="str">
        <v>Migracion de datos</v>
      </c>
      <c r="C218" t="str">
        <v>Plan de tranferencia</v>
      </c>
      <c r="D218">
        <v>0</v>
      </c>
      <c r="E218" t="str">
        <v>Migración de datos</v>
      </c>
      <c r="F218" t="str">
        <v>Core</v>
      </c>
      <c r="G218" t="str">
        <v>Definición de estrategia de migración de datos -  SSM (Seguros)</v>
      </c>
      <c r="H218" t="str">
        <v>Se requiere establecer la estrategia de migración de datos para las aplicaciones.</v>
      </c>
      <c r="I218" t="str">
        <v>Técnica</v>
      </c>
      <c r="J218" t="str">
        <v>Medio</v>
      </c>
      <c r="K218" s="183">
        <v>46112</v>
      </c>
      <c r="L218" s="183">
        <v>0</v>
      </c>
      <c r="M218" s="188">
        <v>0</v>
      </c>
      <c r="N218">
        <v>0</v>
      </c>
      <c r="O218" t="str">
        <v>Julio P.</v>
      </c>
      <c r="P218" t="b">
        <v>1</v>
      </c>
      <c r="Q218" t="str">
        <v>4.Resuelta</v>
      </c>
      <c r="R218" t="str">
        <v>Migración</v>
      </c>
      <c r="S218">
        <v>0</v>
      </c>
      <c r="T218" t="str">
        <v>S</v>
      </c>
    </row>
    <row r="219" spans="1:20">
      <c r="A219">
        <v>26</v>
      </c>
      <c r="B219" t="str">
        <v>Migracion de datos</v>
      </c>
      <c r="C219" t="str">
        <v>Req datos</v>
      </c>
      <c r="D219">
        <v>0</v>
      </c>
      <c r="E219" t="str">
        <v>Migración de datos</v>
      </c>
      <c r="F219" t="str">
        <v>Datos</v>
      </c>
      <c r="G219" t="str">
        <v>Identificación de tablas prioritarias - Inteligencia Comercial</v>
      </c>
      <c r="H219" t="str">
        <v>Se requiere llenar el formato incluyendo las tablas que forman parte del proceso</v>
      </c>
      <c r="I219" t="str">
        <v>Técnica</v>
      </c>
      <c r="J219" t="str">
        <v>Medio</v>
      </c>
      <c r="K219" s="183">
        <v>46127</v>
      </c>
      <c r="L219" s="183">
        <v>46142</v>
      </c>
      <c r="M219" s="188">
        <v>0</v>
      </c>
      <c r="N219">
        <v>0</v>
      </c>
      <c r="O219" t="str">
        <v>Jean A.</v>
      </c>
      <c r="P219" t="b">
        <v>1</v>
      </c>
      <c r="Q219" t="str">
        <v>3.En progreso</v>
      </c>
      <c r="R219" t="str">
        <v>Migración</v>
      </c>
      <c r="S219">
        <v>0</v>
      </c>
      <c r="T219" t="str">
        <v>S</v>
      </c>
    </row>
    <row r="220" spans="1:20">
      <c r="A220">
        <v>27</v>
      </c>
      <c r="B220" t="str">
        <v>Migracion de datos</v>
      </c>
      <c r="C220" t="str">
        <v>Req datos</v>
      </c>
      <c r="D220">
        <v>0</v>
      </c>
      <c r="E220" t="str">
        <v>Migración de datos</v>
      </c>
      <c r="F220" t="str">
        <v>Canales Digitales</v>
      </c>
      <c r="G220" t="str">
        <v>Identificación de requerimientos de datos BanTotal - Canales Digitales</v>
      </c>
      <c r="H220" t="str">
        <v>Se requiere identificar la data necesaria para la operación de las aplicaciones en desarrollo, en caso de requerirse tablas Bantotal u otras.
Soliciatado a Arnold por correo</v>
      </c>
      <c r="I220" t="str">
        <v>Técnica</v>
      </c>
      <c r="J220" t="str">
        <v>Medio</v>
      </c>
      <c r="K220" s="183">
        <v>46299</v>
      </c>
      <c r="L220" s="183">
        <v>0</v>
      </c>
      <c r="M220" s="188">
        <v>0</v>
      </c>
      <c r="N220">
        <v>0</v>
      </c>
      <c r="O220" t="str">
        <v>Henry J.</v>
      </c>
      <c r="P220" t="b">
        <v>0</v>
      </c>
      <c r="Q220" t="str">
        <v>4.Resuelta</v>
      </c>
      <c r="R220" t="str">
        <v>Migración</v>
      </c>
      <c r="S220">
        <v>0</v>
      </c>
      <c r="T220" t="str">
        <v>N</v>
      </c>
    </row>
    <row r="221" spans="1:20">
      <c r="A221">
        <v>28</v>
      </c>
      <c r="B221" t="str">
        <v>Migracion de datos</v>
      </c>
      <c r="C221" t="str">
        <v>Diagrama</v>
      </c>
      <c r="D221">
        <v>0</v>
      </c>
      <c r="E221" t="str">
        <v>Migración de datos</v>
      </c>
      <c r="F221" t="str">
        <v>Cyber &amp; Fraud</v>
      </c>
      <c r="G221" t="str">
        <v>Diagrama de Migración  - Cyber &amp; Fraud</v>
      </c>
      <c r="H221" t="str">
        <v>Se requiere identificar si como parte de la data necesaria para la operación de las aplicaciones, se requieren tablas Bantotal u otras desde el SBP.</v>
      </c>
      <c r="I221" t="str">
        <v>Técnica</v>
      </c>
      <c r="J221" t="str">
        <v>Medio</v>
      </c>
      <c r="K221" s="183">
        <v>46142</v>
      </c>
      <c r="L221" s="183">
        <v>0</v>
      </c>
      <c r="M221" s="188">
        <v>46142</v>
      </c>
      <c r="N221">
        <v>0</v>
      </c>
      <c r="O221" t="str">
        <v>Cesar V.</v>
      </c>
      <c r="P221" t="b">
        <v>1</v>
      </c>
      <c r="Q221" t="str">
        <v>3.En progreso</v>
      </c>
      <c r="R221" t="str">
        <v>Migración</v>
      </c>
      <c r="S221">
        <v>0</v>
      </c>
      <c r="T221" t="str">
        <v>S</v>
      </c>
    </row>
    <row r="222" spans="1:20">
      <c r="A222">
        <v>29</v>
      </c>
      <c r="B222" t="str">
        <v>Migracion de datos</v>
      </c>
      <c r="C222" t="str">
        <v>Req datos</v>
      </c>
      <c r="D222">
        <v>0</v>
      </c>
      <c r="E222" t="str">
        <v>Migración de datos</v>
      </c>
      <c r="F222" t="str">
        <v>Datos</v>
      </c>
      <c r="G222" t="str">
        <v>Identificación de tablas prioritarias - Riesgos</v>
      </c>
      <c r="H222" t="str">
        <v>Se requiere llenar el formato incluyendo las tablas que forman parte del proceso</v>
      </c>
      <c r="I222" t="str">
        <v>Técnica</v>
      </c>
      <c r="J222" t="str">
        <v>Medio</v>
      </c>
      <c r="K222" s="183">
        <v>46127</v>
      </c>
      <c r="L222" s="183">
        <v>46142</v>
      </c>
      <c r="M222" s="188">
        <v>0</v>
      </c>
      <c r="N222">
        <v>0</v>
      </c>
      <c r="O222" t="str">
        <v>Jean A.</v>
      </c>
      <c r="P222" t="b">
        <v>1</v>
      </c>
      <c r="Q222" t="str">
        <v>3.En progreso</v>
      </c>
      <c r="R222" t="str">
        <v>Migración</v>
      </c>
      <c r="S222">
        <v>0</v>
      </c>
      <c r="T222" t="str">
        <v>S</v>
      </c>
    </row>
    <row r="223" spans="1:20">
      <c r="A223">
        <v>30</v>
      </c>
      <c r="B223" t="str">
        <v>Migracion de datos</v>
      </c>
      <c r="C223" t="str">
        <v>Req datos</v>
      </c>
      <c r="D223">
        <v>0</v>
      </c>
      <c r="E223" t="str">
        <v>Migración de datos</v>
      </c>
      <c r="F223" t="str">
        <v>Datos</v>
      </c>
      <c r="G223" t="str">
        <v>Identificación de tablas prioritarias - Finanzas</v>
      </c>
      <c r="H223" t="str">
        <v>Se requiere llenar el formato incluyendo las tablas que forman parte del proceso</v>
      </c>
      <c r="I223" t="str">
        <v>Técnica</v>
      </c>
      <c r="J223" t="str">
        <v>Medio</v>
      </c>
      <c r="K223" s="183">
        <v>46127</v>
      </c>
      <c r="L223" s="183">
        <v>46142</v>
      </c>
      <c r="M223" s="188">
        <v>0</v>
      </c>
      <c r="N223">
        <v>0</v>
      </c>
      <c r="O223" t="str">
        <v>Jean A.</v>
      </c>
      <c r="P223" t="b">
        <v>1</v>
      </c>
      <c r="Q223" t="str">
        <v>3.En progreso</v>
      </c>
      <c r="R223" t="str">
        <v>Migración</v>
      </c>
      <c r="S223">
        <v>0</v>
      </c>
      <c r="T223" t="str">
        <v>S</v>
      </c>
    </row>
    <row r="224" spans="1:20">
      <c r="A224">
        <v>31</v>
      </c>
      <c r="B224" t="str">
        <v>Migracion de datos</v>
      </c>
      <c r="C224" t="str">
        <v>Plan de tranferencia</v>
      </c>
      <c r="D224">
        <v>0</v>
      </c>
      <c r="E224" t="str">
        <v>Migración de datos</v>
      </c>
      <c r="F224" t="str">
        <v>Cards y Payments</v>
      </c>
      <c r="G224" t="str">
        <v>Definición de estrategia de migración de datos - Reportes de interoperabilidad históricos</v>
      </c>
      <c r="H224" t="str">
        <v>Se requiere establecer la estrategia de migración de los archivos históricos.</v>
      </c>
      <c r="I224" t="str">
        <v>Técnica</v>
      </c>
      <c r="J224" t="str">
        <v>Medio</v>
      </c>
      <c r="K224" s="183">
        <v>46112</v>
      </c>
      <c r="L224" s="183">
        <v>0</v>
      </c>
      <c r="M224" s="188">
        <v>0</v>
      </c>
      <c r="N224">
        <v>0</v>
      </c>
      <c r="O224" t="str">
        <v>Fredy C.</v>
      </c>
      <c r="P224" t="b">
        <v>1</v>
      </c>
      <c r="Q224" t="str">
        <v>4.Resuelta</v>
      </c>
      <c r="R224" t="str">
        <v>Migración</v>
      </c>
      <c r="S224">
        <v>0</v>
      </c>
      <c r="T224" t="str">
        <v>S</v>
      </c>
    </row>
    <row r="225" spans="1:20">
      <c r="A225">
        <v>32</v>
      </c>
      <c r="B225" t="str">
        <v>Migracion de datos</v>
      </c>
      <c r="C225" t="str">
        <v>Plan de tranferencia</v>
      </c>
      <c r="D225">
        <v>0</v>
      </c>
      <c r="E225" t="str">
        <v>Migración de datos</v>
      </c>
      <c r="F225" t="str">
        <v>Canales Asistidos</v>
      </c>
      <c r="G225" t="str">
        <v>Estrategia de Migración - Archivos de audio IVR</v>
      </c>
      <c r="H225" t="str">
        <v>Se requiere establecer la estrategia de migración de los archivos históricos.</v>
      </c>
      <c r="I225" t="str">
        <v>Técnica</v>
      </c>
      <c r="J225" t="str">
        <v>Medio</v>
      </c>
      <c r="K225" s="183">
        <v>46112</v>
      </c>
      <c r="L225" s="183">
        <v>0</v>
      </c>
      <c r="M225" s="188">
        <v>0</v>
      </c>
      <c r="N225">
        <v>0</v>
      </c>
      <c r="O225" t="str">
        <v>Sonia B.</v>
      </c>
      <c r="P225" t="b">
        <v>1</v>
      </c>
      <c r="Q225" t="str">
        <v>4.Resuelta</v>
      </c>
      <c r="R225" t="str">
        <v>Migración</v>
      </c>
      <c r="S225">
        <v>0</v>
      </c>
      <c r="T225" t="str">
        <v>S</v>
      </c>
    </row>
    <row r="226" spans="1:20">
      <c r="A226">
        <v>33</v>
      </c>
      <c r="B226" t="str">
        <v>Migracion de datos</v>
      </c>
      <c r="C226" t="str">
        <v>Req datos</v>
      </c>
      <c r="D226">
        <v>0</v>
      </c>
      <c r="E226" t="str">
        <v>Migración de datos</v>
      </c>
      <c r="F226" t="str">
        <v>Procesos</v>
      </c>
      <c r="G226" t="str">
        <v>Identificación de requerimientos de datos BanTotal - Procesos</v>
      </c>
      <c r="H226" t="str">
        <v>Se requiere identificar la data necesaria para la operación de las aplicaciones en desarrollo, en caso de requerirse tablas Bantotal u otras.</v>
      </c>
      <c r="I226" t="str">
        <v>Técnica</v>
      </c>
      <c r="J226" t="str">
        <v>Medio</v>
      </c>
      <c r="K226" s="183">
        <v>46142</v>
      </c>
      <c r="L226" s="183">
        <v>0</v>
      </c>
      <c r="M226" s="188">
        <v>0</v>
      </c>
      <c r="N226">
        <v>0</v>
      </c>
      <c r="O226" t="str">
        <v>Sonia B.</v>
      </c>
      <c r="P226" t="b">
        <v>1</v>
      </c>
      <c r="Q226" t="str">
        <v>4.Resuelta</v>
      </c>
      <c r="R226" t="str">
        <v>Migración</v>
      </c>
      <c r="S226">
        <v>0</v>
      </c>
      <c r="T226" t="str">
        <v>S</v>
      </c>
    </row>
    <row r="227" spans="1:20">
      <c r="A227">
        <v>1</v>
      </c>
      <c r="B227" t="str">
        <v>Aplicaciones de soporte</v>
      </c>
      <c r="C227" t="str">
        <v>Mapa</v>
      </c>
      <c r="D227" t="str">
        <v>M-X</v>
      </c>
      <c r="E227" t="str">
        <v>Soporte / Modellica (Admisión Crediticia)</v>
      </c>
      <c r="F227" t="str">
        <v>Riesgos TI</v>
      </c>
      <c r="G227" t="str">
        <v>Servicio de consulta en línea con Experian y Equifax</v>
      </c>
      <c r="H227" t="str">
        <v>Contratar el servicio de consulta en línea de Experian y Equifax</v>
      </c>
      <c r="I227" t="str">
        <v>Técnica</v>
      </c>
      <c r="J227" t="str">
        <v>Alta</v>
      </c>
      <c r="K227" s="183">
        <v>46101</v>
      </c>
      <c r="L227" s="183">
        <v>0</v>
      </c>
      <c r="M227" s="188" t="str">
        <v>TBD</v>
      </c>
      <c r="N227">
        <v>0</v>
      </c>
      <c r="O227" t="str">
        <v>Darwin C.</v>
      </c>
      <c r="P227" t="b">
        <v>1</v>
      </c>
      <c r="Q227" t="str">
        <v>2.Solicitada</v>
      </c>
      <c r="R227" t="str">
        <v>Soporte</v>
      </c>
      <c r="S227">
        <v>0</v>
      </c>
      <c r="T227" t="str">
        <v>S</v>
      </c>
    </row>
    <row r="228" spans="1:20">
      <c r="A228">
        <v>2</v>
      </c>
      <c r="B228" t="str">
        <v>Aplicaciones de soporte</v>
      </c>
      <c r="C228" t="str">
        <v>Mapa</v>
      </c>
      <c r="D228" t="str">
        <v>M-X</v>
      </c>
      <c r="E228" t="str">
        <v>Soporte / KYC - Score AML Batch</v>
      </c>
      <c r="F228" t="str">
        <v>Proveedor Monitor</v>
      </c>
      <c r="G228" t="str">
        <v>Proceso Batch</v>
      </c>
      <c r="H228" t="str">
        <v>Generacion de Archivo SCORE AML mensual</v>
      </c>
      <c r="I228" t="str">
        <v>Técnica</v>
      </c>
      <c r="J228" t="str">
        <v>Alta</v>
      </c>
      <c r="K228" s="183">
        <v>46104</v>
      </c>
      <c r="L228" s="183">
        <v>0</v>
      </c>
      <c r="M228" s="188" t="str">
        <v>TBD</v>
      </c>
      <c r="N228">
        <v>0</v>
      </c>
      <c r="O228" t="str">
        <v>Enrique Lopez</v>
      </c>
      <c r="P228" t="b">
        <v>1</v>
      </c>
      <c r="Q228" t="str">
        <v>2.Solicitada</v>
      </c>
      <c r="R228" t="str">
        <v>Soporte</v>
      </c>
      <c r="S228">
        <v>0</v>
      </c>
      <c r="T228" t="str">
        <v>S</v>
      </c>
    </row>
    <row r="229" spans="1:20">
      <c r="A229">
        <v>3</v>
      </c>
      <c r="B229" t="str">
        <v>Aplicaciones de soporte</v>
      </c>
      <c r="C229" t="str">
        <v>Mapa</v>
      </c>
      <c r="D229" t="str">
        <v>MF-JH-0005</v>
      </c>
      <c r="E229" t="str">
        <v>Soporte / Spring ERP</v>
      </c>
      <c r="F229" t="str">
        <v>Core</v>
      </c>
      <c r="G229" t="str">
        <v>Definición de interfaces</v>
      </c>
      <c r="H229" t="str">
        <v>Definir las interfaces para asientos contables en BT</v>
      </c>
      <c r="I229" t="str">
        <v>Técnica</v>
      </c>
      <c r="J229" t="str">
        <v>Alta</v>
      </c>
      <c r="K229" s="183">
        <v>46157</v>
      </c>
      <c r="L229" s="183">
        <v>0</v>
      </c>
      <c r="M229" s="188">
        <v>46157</v>
      </c>
      <c r="N229">
        <v>0</v>
      </c>
      <c r="O229" t="str">
        <v>Julio P.</v>
      </c>
      <c r="P229" t="b">
        <v>0</v>
      </c>
      <c r="Q229" t="str">
        <v>1.Identificada</v>
      </c>
      <c r="R229" t="str">
        <v>Soporte</v>
      </c>
      <c r="S229">
        <v>0</v>
      </c>
      <c r="T229" t="str">
        <v>N</v>
      </c>
    </row>
    <row r="230" spans="1:20">
      <c r="A230">
        <v>4</v>
      </c>
      <c r="B230" t="str">
        <v>Aplicaciones de soporte</v>
      </c>
      <c r="C230" t="str">
        <v>Mapa</v>
      </c>
      <c r="D230" t="str">
        <v>MF-JH-0028</v>
      </c>
      <c r="E230" t="str">
        <v>Soporte / Spring ERP / Gestión de Logistica / Logistica de Proveedores</v>
      </c>
      <c r="F230" t="str">
        <v>Comunication Manager</v>
      </c>
      <c r="G230" t="str">
        <v>Habilitación de interfaz de correos</v>
      </c>
      <c r="H230" t="str">
        <v>Habilitar el envio de correos internos y/o externos</v>
      </c>
      <c r="I230" t="str">
        <v>Técnica</v>
      </c>
      <c r="J230" t="str">
        <v>Alta</v>
      </c>
      <c r="K230" s="183">
        <v>46157</v>
      </c>
      <c r="L230" s="183">
        <v>0</v>
      </c>
      <c r="M230" s="188" t="str">
        <v>TBD</v>
      </c>
      <c r="N230">
        <v>0</v>
      </c>
      <c r="O230" t="str">
        <v>Willy V</v>
      </c>
      <c r="P230" t="b">
        <v>0</v>
      </c>
      <c r="Q230" t="str">
        <v>1.Identificada</v>
      </c>
      <c r="R230" t="str">
        <v>Soporte</v>
      </c>
      <c r="S230">
        <v>0</v>
      </c>
      <c r="T230" t="str">
        <v>N</v>
      </c>
    </row>
    <row r="231" spans="1:20">
      <c r="A231">
        <v>5</v>
      </c>
      <c r="B231" t="str">
        <v>Aplicaciones de soporte</v>
      </c>
      <c r="C231" t="str">
        <v>Mapa</v>
      </c>
      <c r="D231" t="str">
        <v>MF-JH-0029</v>
      </c>
      <c r="E231" t="str">
        <v>Soporte / Spring ERP / Gestión de Logistica / Logistica de Economato</v>
      </c>
      <c r="F231" t="str">
        <v>Comunication Manager</v>
      </c>
      <c r="G231" t="str">
        <v>Habilitación de interfaz de correos</v>
      </c>
      <c r="H231" t="str">
        <v>Habilitar el envio de correos internos y/o externos</v>
      </c>
      <c r="I231" t="str">
        <v>Técnica</v>
      </c>
      <c r="J231" t="str">
        <v>Alta</v>
      </c>
      <c r="K231" s="183">
        <v>46157</v>
      </c>
      <c r="L231" s="183">
        <v>0</v>
      </c>
      <c r="M231" s="188" t="str">
        <v>TBD</v>
      </c>
      <c r="N231">
        <v>0</v>
      </c>
      <c r="O231" t="str">
        <v>Willy V</v>
      </c>
      <c r="P231" t="b">
        <v>0</v>
      </c>
      <c r="Q231" t="str">
        <v>1.Identificada</v>
      </c>
      <c r="R231" t="str">
        <v>Soporte</v>
      </c>
      <c r="S231">
        <v>0</v>
      </c>
      <c r="T231" t="str">
        <v>N</v>
      </c>
    </row>
    <row r="232" spans="1:20">
      <c r="A232">
        <v>6</v>
      </c>
      <c r="B232" t="str">
        <v>Aplicaciones de soporte</v>
      </c>
      <c r="C232" t="str">
        <v>Mapa</v>
      </c>
      <c r="D232" t="str">
        <v>MF-JH-0030</v>
      </c>
      <c r="E232" t="str">
        <v>Soporte / Spring ERP / Gestión de Logistica / Mantenimiento de Oficinas</v>
      </c>
      <c r="F232" t="str">
        <v>Comunication Manager</v>
      </c>
      <c r="G232" t="str">
        <v>Habilitación de interfaz de correos</v>
      </c>
      <c r="H232" t="str">
        <v>Habilitar el envio de correos internos y/o externos</v>
      </c>
      <c r="I232" t="str">
        <v>Técnica</v>
      </c>
      <c r="J232" t="str">
        <v>Alta</v>
      </c>
      <c r="K232" s="183">
        <v>46157</v>
      </c>
      <c r="L232" s="183">
        <v>0</v>
      </c>
      <c r="M232" s="188" t="str">
        <v>TBD</v>
      </c>
      <c r="N232">
        <v>0</v>
      </c>
      <c r="O232" t="str">
        <v>Willy V</v>
      </c>
      <c r="P232" t="b">
        <v>0</v>
      </c>
      <c r="Q232" t="str">
        <v>1.Identificada</v>
      </c>
      <c r="R232" t="str">
        <v>Soporte</v>
      </c>
      <c r="S232">
        <v>0</v>
      </c>
      <c r="T232" t="str">
        <v>N</v>
      </c>
    </row>
    <row r="233" spans="1:20">
      <c r="A233">
        <v>7</v>
      </c>
      <c r="B233" t="str">
        <v>Aplicaciones de soporte</v>
      </c>
      <c r="C233" t="str">
        <v>Mapa</v>
      </c>
      <c r="D233" t="str">
        <v>MF-JH-0031</v>
      </c>
      <c r="E233" t="str">
        <v>Soporte / Spring ERP / Gestión de Logistica / Logistica de Mantenimiento de Almacén</v>
      </c>
      <c r="F233" t="str">
        <v>Comunication Manager</v>
      </c>
      <c r="G233" t="str">
        <v>Habilitación de interfaz de correos</v>
      </c>
      <c r="H233" t="str">
        <v>Habilitar el envio de correos internos y/o externos</v>
      </c>
      <c r="I233" t="str">
        <v>Técnica</v>
      </c>
      <c r="J233" t="str">
        <v>Alta</v>
      </c>
      <c r="K233" s="183">
        <v>46157</v>
      </c>
      <c r="L233" s="183">
        <v>0</v>
      </c>
      <c r="M233" s="188" t="str">
        <v>TBD</v>
      </c>
      <c r="N233">
        <v>0</v>
      </c>
      <c r="O233" t="str">
        <v>Willy V</v>
      </c>
      <c r="P233" t="b">
        <v>0</v>
      </c>
      <c r="Q233" t="str">
        <v>1.Identificada</v>
      </c>
      <c r="R233" t="str">
        <v>Soporte</v>
      </c>
      <c r="S233">
        <v>0</v>
      </c>
      <c r="T233" t="str">
        <v>N</v>
      </c>
    </row>
    <row r="234" spans="1:20">
      <c r="A234">
        <v>8</v>
      </c>
      <c r="B234" t="str">
        <v>Aplicaciones de soporte</v>
      </c>
      <c r="C234" t="str">
        <v>Mapa</v>
      </c>
      <c r="D234" t="str">
        <v>MF-JH-0032</v>
      </c>
      <c r="E234" t="str">
        <v>Soporte / Spring ERP / Gestión de Contratos / Asignación de presupuesto</v>
      </c>
      <c r="F234" t="str">
        <v>Comunication Manager</v>
      </c>
      <c r="G234" t="str">
        <v>Habilitación de interfaz de correos</v>
      </c>
      <c r="H234" t="str">
        <v>Habilitar el envio de correos internos y/o externos</v>
      </c>
      <c r="I234" t="str">
        <v>Técnica</v>
      </c>
      <c r="J234" t="str">
        <v>Alta</v>
      </c>
      <c r="K234" s="183">
        <v>46157</v>
      </c>
      <c r="L234" s="183">
        <v>0</v>
      </c>
      <c r="M234" s="188" t="str">
        <v>TBD</v>
      </c>
      <c r="N234">
        <v>0</v>
      </c>
      <c r="O234" t="str">
        <v>Willy V</v>
      </c>
      <c r="P234" t="b">
        <v>0</v>
      </c>
      <c r="Q234" t="str">
        <v>1.Identificada</v>
      </c>
      <c r="R234" t="str">
        <v>Soporte</v>
      </c>
      <c r="S234">
        <v>0</v>
      </c>
      <c r="T234" t="str">
        <v>N</v>
      </c>
    </row>
    <row r="235" spans="1:20">
      <c r="A235">
        <v>9</v>
      </c>
      <c r="B235" t="str">
        <v>Aplicaciones de soporte</v>
      </c>
      <c r="C235" t="str">
        <v>Mapa</v>
      </c>
      <c r="D235" t="str">
        <v>MF-JH-0033</v>
      </c>
      <c r="E235" t="str">
        <v>Soporte / Spring ERP / Gestión de Contratos / Registro de Contratos de proveedores</v>
      </c>
      <c r="F235" t="str">
        <v>Comunication Manager</v>
      </c>
      <c r="G235" t="str">
        <v>Habilitación de interfaz de correos</v>
      </c>
      <c r="H235" t="str">
        <v>Habilitar el envio de correos internos y/o externos</v>
      </c>
      <c r="I235" t="str">
        <v>Técnica</v>
      </c>
      <c r="J235" t="str">
        <v>Alta</v>
      </c>
      <c r="K235" s="183">
        <v>46157</v>
      </c>
      <c r="L235" s="183">
        <v>0</v>
      </c>
      <c r="M235" s="188" t="str">
        <v>TBD</v>
      </c>
      <c r="N235">
        <v>0</v>
      </c>
      <c r="O235" t="str">
        <v>Willy V</v>
      </c>
      <c r="P235" t="b">
        <v>0</v>
      </c>
      <c r="Q235" t="str">
        <v>1.Identificada</v>
      </c>
      <c r="R235" t="str">
        <v>Soporte</v>
      </c>
      <c r="S235">
        <v>0</v>
      </c>
      <c r="T235" t="str">
        <v>N</v>
      </c>
    </row>
    <row r="236" spans="1:20">
      <c r="A236">
        <v>10</v>
      </c>
      <c r="B236" t="str">
        <v>Aplicaciones de soporte</v>
      </c>
      <c r="C236" t="str">
        <v>Mapa</v>
      </c>
      <c r="D236" t="str">
        <v>MF-JH-0034</v>
      </c>
      <c r="E236" t="str">
        <v>Soporte / Spring ERP / Gestión de Contratos / Registro de adendas</v>
      </c>
      <c r="F236" t="str">
        <v>Comunication Manager</v>
      </c>
      <c r="G236" t="str">
        <v>Habilitación de interfaz de correos</v>
      </c>
      <c r="H236" t="str">
        <v>Habilitar el envio de correos internos y/o externos</v>
      </c>
      <c r="I236" t="str">
        <v>Técnica</v>
      </c>
      <c r="J236" t="str">
        <v>Alta</v>
      </c>
      <c r="K236" s="183">
        <v>46157</v>
      </c>
      <c r="L236" s="183">
        <v>0</v>
      </c>
      <c r="M236" s="188" t="str">
        <v>TBD</v>
      </c>
      <c r="N236">
        <v>0</v>
      </c>
      <c r="O236" t="str">
        <v>Willy V</v>
      </c>
      <c r="P236" t="b">
        <v>0</v>
      </c>
      <c r="Q236" t="str">
        <v>1.Identificada</v>
      </c>
      <c r="R236" t="str">
        <v>Soporte</v>
      </c>
      <c r="S236">
        <v>0</v>
      </c>
      <c r="T236" t="str">
        <v>N</v>
      </c>
    </row>
    <row r="237" spans="1:20">
      <c r="A237">
        <v>11</v>
      </c>
      <c r="B237" t="str">
        <v>Aplicaciones de soporte</v>
      </c>
      <c r="C237" t="str">
        <v>Mapa</v>
      </c>
      <c r="D237" t="str">
        <v>MF-JH-0035</v>
      </c>
      <c r="E237" t="str">
        <v>Soporte / Spring ERP / Gestión de Contratos / Actualización de saldos</v>
      </c>
      <c r="F237" t="str">
        <v>Comunication Manager</v>
      </c>
      <c r="G237" t="str">
        <v>Habilitación de interfaz de correos</v>
      </c>
      <c r="H237" t="str">
        <v>Habilitar el envio de correos internos y/o externos</v>
      </c>
      <c r="I237" t="str">
        <v>Técnica</v>
      </c>
      <c r="J237" t="str">
        <v>Alta</v>
      </c>
      <c r="K237" s="183">
        <v>46157</v>
      </c>
      <c r="L237" s="183">
        <v>0</v>
      </c>
      <c r="M237" s="188" t="str">
        <v>TBD</v>
      </c>
      <c r="N237">
        <v>0</v>
      </c>
      <c r="O237" t="str">
        <v>Willy V</v>
      </c>
      <c r="P237" t="b">
        <v>0</v>
      </c>
      <c r="Q237" t="str">
        <v>1.Identificada</v>
      </c>
      <c r="R237" t="str">
        <v>Soporte</v>
      </c>
      <c r="S237">
        <v>0</v>
      </c>
      <c r="T237" t="str">
        <v>N</v>
      </c>
    </row>
    <row r="238" spans="1:20">
      <c r="A238">
        <v>12</v>
      </c>
      <c r="B238" t="str">
        <v>Aplicaciones de soporte</v>
      </c>
      <c r="C238" t="str">
        <v>Mapa</v>
      </c>
      <c r="D238" t="str">
        <v>MF-JH-0036</v>
      </c>
      <c r="E238" t="str">
        <v>Soporte / Spring ERP / Pago de Obligaciones / Pagos de servicios públicos (agua, luz, etc)</v>
      </c>
      <c r="F238" t="str">
        <v>Comunication Manager</v>
      </c>
      <c r="G238" t="str">
        <v>Habilitación de interfaz de correos</v>
      </c>
      <c r="H238" t="str">
        <v>Habilitar el envio de correos internos y/o externos</v>
      </c>
      <c r="I238" t="str">
        <v>Técnica</v>
      </c>
      <c r="J238" t="str">
        <v>Alta</v>
      </c>
      <c r="K238" s="183">
        <v>46157</v>
      </c>
      <c r="L238" s="183">
        <v>0</v>
      </c>
      <c r="M238" s="188" t="str">
        <v>TBD</v>
      </c>
      <c r="N238">
        <v>0</v>
      </c>
      <c r="O238" t="str">
        <v>Willy V</v>
      </c>
      <c r="P238" t="b">
        <v>0</v>
      </c>
      <c r="Q238" t="str">
        <v>1.Identificada</v>
      </c>
      <c r="R238" t="str">
        <v>Soporte</v>
      </c>
      <c r="S238">
        <v>0</v>
      </c>
      <c r="T238" t="str">
        <v>N</v>
      </c>
    </row>
    <row r="239" spans="1:20">
      <c r="A239">
        <v>13</v>
      </c>
      <c r="B239" t="str">
        <v>Aplicaciones de soporte</v>
      </c>
      <c r="C239" t="str">
        <v>Mapa</v>
      </c>
      <c r="D239" t="str">
        <v>MF-JH-0037</v>
      </c>
      <c r="E239" t="str">
        <v>Soporte / Spring ERP / Pago de Obligaciones / Pagos de servicios públicos (agua, luz, etc)</v>
      </c>
      <c r="F239" t="str">
        <v>Comunication Manager</v>
      </c>
      <c r="G239" t="str">
        <v>Habilitación de interfaz de correos</v>
      </c>
      <c r="H239" t="str">
        <v>Habilitar el envio de correos internos y/o externos</v>
      </c>
      <c r="I239" t="str">
        <v>Técnica</v>
      </c>
      <c r="J239" t="str">
        <v>Alta</v>
      </c>
      <c r="K239" s="183">
        <v>46157</v>
      </c>
      <c r="L239" s="183">
        <v>0</v>
      </c>
      <c r="M239" s="188" t="str">
        <v>TBD</v>
      </c>
      <c r="N239">
        <v>0</v>
      </c>
      <c r="O239" t="str">
        <v>Willy V</v>
      </c>
      <c r="P239" t="b">
        <v>0</v>
      </c>
      <c r="Q239" t="str">
        <v>1.Identificada</v>
      </c>
      <c r="R239" t="str">
        <v>Soporte</v>
      </c>
      <c r="S239">
        <v>0</v>
      </c>
      <c r="T239" t="str">
        <v>N</v>
      </c>
    </row>
    <row r="240" spans="1:20">
      <c r="A240">
        <v>14</v>
      </c>
      <c r="B240" t="str">
        <v>Aplicaciones de soporte</v>
      </c>
      <c r="C240" t="str">
        <v>Mapa</v>
      </c>
      <c r="D240" t="str">
        <v>MF-JH-0038</v>
      </c>
      <c r="E240" t="str">
        <v>Soporte / Spring ERP / Pago de Obligaciones / Cuentas por pagar/cobrar</v>
      </c>
      <c r="F240" t="str">
        <v>Comunication Manager</v>
      </c>
      <c r="G240" t="str">
        <v>Habilitación de interfaz de correos</v>
      </c>
      <c r="H240" t="str">
        <v>Habilitar el envio de correos internos y/o externos</v>
      </c>
      <c r="I240" t="str">
        <v>Técnica</v>
      </c>
      <c r="J240" t="str">
        <v>Alta</v>
      </c>
      <c r="K240" s="183">
        <v>46157</v>
      </c>
      <c r="L240" s="183">
        <v>0</v>
      </c>
      <c r="M240" s="188" t="str">
        <v>TBD</v>
      </c>
      <c r="N240">
        <v>0</v>
      </c>
      <c r="O240" t="str">
        <v>Willy V</v>
      </c>
      <c r="P240" t="b">
        <v>0</v>
      </c>
      <c r="Q240" t="str">
        <v>1.Identificada</v>
      </c>
      <c r="R240" t="str">
        <v>Soporte</v>
      </c>
      <c r="S240">
        <v>0</v>
      </c>
      <c r="T240" t="str">
        <v>N</v>
      </c>
    </row>
    <row r="241" spans="1:20">
      <c r="A241">
        <v>15</v>
      </c>
      <c r="B241" t="str">
        <v>Aplicaciones de soporte</v>
      </c>
      <c r="C241" t="str">
        <v>Mapa</v>
      </c>
      <c r="D241" t="str">
        <v>MF-JH-0039</v>
      </c>
      <c r="E241" t="str">
        <v>Soporte / Spring ERP / Gestión de activos / Alta y Baja de Activos fijos</v>
      </c>
      <c r="F241" t="str">
        <v>Comunication Manager</v>
      </c>
      <c r="G241" t="str">
        <v>Habilitación de interfaz de correos</v>
      </c>
      <c r="H241" t="str">
        <v>Habilitar el envio de correos internos y/o externos</v>
      </c>
      <c r="I241" t="str">
        <v>Técnica</v>
      </c>
      <c r="J241" t="str">
        <v>Alta</v>
      </c>
      <c r="K241" s="183">
        <v>46157</v>
      </c>
      <c r="L241" s="183">
        <v>0</v>
      </c>
      <c r="M241" s="188" t="str">
        <v>TBD</v>
      </c>
      <c r="N241">
        <v>0</v>
      </c>
      <c r="O241" t="str">
        <v>Willy V</v>
      </c>
      <c r="P241" t="b">
        <v>0</v>
      </c>
      <c r="Q241" t="str">
        <v>1.Identificada</v>
      </c>
      <c r="R241" t="str">
        <v>Soporte</v>
      </c>
      <c r="S241">
        <v>0</v>
      </c>
      <c r="T241" t="str">
        <v>N</v>
      </c>
    </row>
    <row r="242" spans="1:20">
      <c r="A242">
        <v>16</v>
      </c>
      <c r="B242" t="str">
        <v>Aplicaciones de soporte</v>
      </c>
      <c r="C242" t="str">
        <v>Mapa</v>
      </c>
      <c r="D242" t="str">
        <v>MF-JH-0040</v>
      </c>
      <c r="E242" t="str">
        <v>Soporte / Spring ERP / Presupuesto / Control de Presupuesto</v>
      </c>
      <c r="F242" t="str">
        <v>Comunication Manager</v>
      </c>
      <c r="G242" t="str">
        <v>Habilitación de interfaz de correos</v>
      </c>
      <c r="H242" t="str">
        <v>Habilitar el envio de correos internos y/o externos</v>
      </c>
      <c r="I242" t="str">
        <v>Técnica</v>
      </c>
      <c r="J242" t="str">
        <v>Alta</v>
      </c>
      <c r="K242" s="183">
        <v>46157</v>
      </c>
      <c r="L242" s="183">
        <v>0</v>
      </c>
      <c r="M242" s="188" t="str">
        <v>TBD</v>
      </c>
      <c r="N242">
        <v>0</v>
      </c>
      <c r="O242" t="str">
        <v>Willy V</v>
      </c>
      <c r="P242" t="b">
        <v>0</v>
      </c>
      <c r="Q242" t="str">
        <v>1.Identificada</v>
      </c>
      <c r="R242" t="str">
        <v>Soporte</v>
      </c>
      <c r="S242">
        <v>0</v>
      </c>
      <c r="T242" t="str">
        <v>N</v>
      </c>
    </row>
    <row r="243" spans="1:20">
      <c r="A243">
        <v>17</v>
      </c>
      <c r="B243" t="str">
        <v>Aplicaciones de soporte</v>
      </c>
      <c r="C243" t="str">
        <v>Mapa</v>
      </c>
      <c r="D243" t="str">
        <v>MF-JH-0041</v>
      </c>
      <c r="E243" t="str">
        <v>Soporte / Spring ERP / Presupuesto / Inicial de presupuesto anual</v>
      </c>
      <c r="F243" t="str">
        <v>Comunication Manager</v>
      </c>
      <c r="G243" t="str">
        <v>Habilitación de interfaz de correos</v>
      </c>
      <c r="H243" t="str">
        <v>Habilitar el envio de correos internos y/o externos</v>
      </c>
      <c r="I243" t="str">
        <v>Técnica</v>
      </c>
      <c r="J243" t="str">
        <v>Alta</v>
      </c>
      <c r="K243" s="183">
        <v>46157</v>
      </c>
      <c r="L243" s="183">
        <v>0</v>
      </c>
      <c r="M243" s="188" t="str">
        <v>TBD</v>
      </c>
      <c r="N243">
        <v>0</v>
      </c>
      <c r="O243" t="str">
        <v>Willy V</v>
      </c>
      <c r="P243" t="b">
        <v>0</v>
      </c>
      <c r="Q243" t="str">
        <v>1.Identificada</v>
      </c>
      <c r="R243" t="str">
        <v>Soporte</v>
      </c>
      <c r="S243">
        <v>0</v>
      </c>
      <c r="T243" t="str">
        <v>N</v>
      </c>
    </row>
    <row r="244" spans="1:20">
      <c r="A244">
        <v>18</v>
      </c>
      <c r="B244" t="str">
        <v>Aplicaciones de soporte</v>
      </c>
      <c r="C244" t="str">
        <v>Mapa</v>
      </c>
      <c r="D244" t="str">
        <v>MF-JH-0042</v>
      </c>
      <c r="E244" t="str">
        <v>Soporte / Spring ERP / Pago de Obligaciones / Recepción de facturas</v>
      </c>
      <c r="F244" t="str">
        <v>Comunication Manager</v>
      </c>
      <c r="G244" t="str">
        <v>Habilitación de interfaz de correos</v>
      </c>
      <c r="H244" t="str">
        <v>Habilitar el envio de correos internos y/o externos</v>
      </c>
      <c r="I244" t="str">
        <v>Técnica</v>
      </c>
      <c r="J244" t="str">
        <v>Alta</v>
      </c>
      <c r="K244" s="183">
        <v>46157</v>
      </c>
      <c r="L244" s="183">
        <v>0</v>
      </c>
      <c r="M244" s="188" t="str">
        <v>TBD</v>
      </c>
      <c r="N244">
        <v>0</v>
      </c>
      <c r="O244" t="str">
        <v>Willy V</v>
      </c>
      <c r="P244" t="b">
        <v>0</v>
      </c>
      <c r="Q244" t="str">
        <v>1.Identificada</v>
      </c>
      <c r="R244" t="str">
        <v>Soporte</v>
      </c>
      <c r="S244">
        <v>0</v>
      </c>
      <c r="T244" t="str">
        <v>N</v>
      </c>
    </row>
    <row r="245" spans="1:20">
      <c r="A245">
        <v>19</v>
      </c>
      <c r="B245" t="str">
        <v>Aplicaciones de soporte</v>
      </c>
      <c r="C245" t="str">
        <v>Mapa</v>
      </c>
      <c r="D245" t="str">
        <v>MF-JH-0043</v>
      </c>
      <c r="E245" t="str">
        <v>Soporte / Spring ERP / Gestión de Contratos / Registro de Contratos de proveedores</v>
      </c>
      <c r="F245" t="str">
        <v>Comunication Manager</v>
      </c>
      <c r="G245" t="str">
        <v>Habilitación de interfaz de correos</v>
      </c>
      <c r="H245" t="str">
        <v>Habilitar el envio de correos internos y/o externos</v>
      </c>
      <c r="I245" t="str">
        <v>Técnica</v>
      </c>
      <c r="J245" t="str">
        <v>Alta</v>
      </c>
      <c r="K245" s="183">
        <v>46157</v>
      </c>
      <c r="L245" s="183">
        <v>0</v>
      </c>
      <c r="M245" s="188" t="str">
        <v>TBD</v>
      </c>
      <c r="N245">
        <v>0</v>
      </c>
      <c r="O245" t="str">
        <v>Willy V</v>
      </c>
      <c r="P245" t="b">
        <v>0</v>
      </c>
      <c r="Q245" t="str">
        <v>1.Identificada</v>
      </c>
      <c r="R245" t="str">
        <v>Soporte</v>
      </c>
      <c r="S245">
        <v>0</v>
      </c>
      <c r="T245" t="str">
        <v>N</v>
      </c>
    </row>
    <row r="246" spans="1:20">
      <c r="A246">
        <v>20</v>
      </c>
      <c r="B246" t="str">
        <v>Aplicaciones de soporte</v>
      </c>
      <c r="C246" t="str">
        <v>Mapa</v>
      </c>
      <c r="D246" t="str">
        <v>MF-JH-0044</v>
      </c>
      <c r="E246" t="str">
        <v>Soporte / Spring ERP / Pago de Obligaciones / Pago a Proveedores</v>
      </c>
      <c r="F246" t="str">
        <v>Comunication Manager</v>
      </c>
      <c r="G246" t="str">
        <v>Habilitación de interfaz de correos</v>
      </c>
      <c r="H246" t="str">
        <v>Habilitar el envio de correos internos y/o externos</v>
      </c>
      <c r="I246" t="str">
        <v>Técnica</v>
      </c>
      <c r="J246" t="str">
        <v>Alta</v>
      </c>
      <c r="K246" s="183">
        <v>46157</v>
      </c>
      <c r="L246" s="183">
        <v>0</v>
      </c>
      <c r="M246" s="188" t="str">
        <v>TBD</v>
      </c>
      <c r="N246">
        <v>0</v>
      </c>
      <c r="O246" t="str">
        <v>Willy V</v>
      </c>
      <c r="P246" t="b">
        <v>0</v>
      </c>
      <c r="Q246" t="str">
        <v>1.Identificada</v>
      </c>
      <c r="R246" t="str">
        <v>Soporte</v>
      </c>
      <c r="S246">
        <v>0</v>
      </c>
      <c r="T246" t="str">
        <v>N</v>
      </c>
    </row>
    <row r="247" spans="1:20">
      <c r="A247">
        <v>21</v>
      </c>
      <c r="B247" t="str">
        <v>Aplicaciones de soporte</v>
      </c>
      <c r="C247" t="str">
        <v>Mapa</v>
      </c>
      <c r="D247" t="str">
        <v>MF-JH-0045</v>
      </c>
      <c r="E247" t="str">
        <v>Soporte / Spring ERP / Pago de Obligaciones / Aprobación de facturas</v>
      </c>
      <c r="F247" t="str">
        <v>Comunication Manager</v>
      </c>
      <c r="G247" t="str">
        <v>Habilitación de interfaz de correos</v>
      </c>
      <c r="H247" t="str">
        <v>Habilitar el envio de correos internos y/o externos</v>
      </c>
      <c r="I247" t="str">
        <v>Técnica</v>
      </c>
      <c r="J247" t="str">
        <v>Alta</v>
      </c>
      <c r="K247" s="183">
        <v>46157</v>
      </c>
      <c r="L247" s="183">
        <v>0</v>
      </c>
      <c r="M247" s="188" t="str">
        <v>TBD</v>
      </c>
      <c r="N247">
        <v>0</v>
      </c>
      <c r="O247" t="str">
        <v>Willy V</v>
      </c>
      <c r="P247" t="b">
        <v>0</v>
      </c>
      <c r="Q247" t="str">
        <v>1.Identificada</v>
      </c>
      <c r="R247" t="str">
        <v>Soporte</v>
      </c>
      <c r="S247">
        <v>0</v>
      </c>
      <c r="T247" t="str">
        <v>N</v>
      </c>
    </row>
    <row r="248" spans="1:20">
      <c r="A248">
        <v>22</v>
      </c>
      <c r="B248" t="str">
        <v>Aplicaciones de soporte</v>
      </c>
      <c r="C248" t="str">
        <v>Mapa</v>
      </c>
      <c r="D248" t="str">
        <v>MF-JH-0046</v>
      </c>
      <c r="E248" t="str">
        <v>Soporte / Spring ERP / Pago de Obligaciones / Pago de tributo e impuestos</v>
      </c>
      <c r="F248" t="str">
        <v>Comunication Manager</v>
      </c>
      <c r="G248" t="str">
        <v>Habilitación de interfaz de correos</v>
      </c>
      <c r="H248" t="str">
        <v>Habilitar el envio de correos internos y/o externos</v>
      </c>
      <c r="I248" t="str">
        <v>Técnica</v>
      </c>
      <c r="J248" t="str">
        <v>Alta</v>
      </c>
      <c r="K248" s="183">
        <v>46157</v>
      </c>
      <c r="L248" s="183">
        <v>0</v>
      </c>
      <c r="M248" s="188" t="str">
        <v>TBD</v>
      </c>
      <c r="N248">
        <v>0</v>
      </c>
      <c r="O248" t="str">
        <v>Willy V</v>
      </c>
      <c r="P248" t="b">
        <v>0</v>
      </c>
      <c r="Q248" t="str">
        <v>1.Identificada</v>
      </c>
      <c r="R248" t="str">
        <v>Soporte</v>
      </c>
      <c r="S248">
        <v>0</v>
      </c>
      <c r="T248" t="str">
        <v>N</v>
      </c>
    </row>
    <row r="249" spans="1:20">
      <c r="A249">
        <v>23</v>
      </c>
      <c r="B249" t="str">
        <v>Aplicaciones de soporte</v>
      </c>
      <c r="C249" t="str">
        <v>Mapa</v>
      </c>
      <c r="D249" t="str">
        <v>MF-JH-0047</v>
      </c>
      <c r="E249" t="str">
        <v>Soporte / Spring ERP / Gestión Contable / Generación de Asientos Contables</v>
      </c>
      <c r="F249" t="str">
        <v>Comunication Manager</v>
      </c>
      <c r="G249" t="str">
        <v>Habilitación de interfaz de correos</v>
      </c>
      <c r="H249" t="str">
        <v>Habilitar el envio de correos internos y/o externos</v>
      </c>
      <c r="I249" t="str">
        <v>Técnica</v>
      </c>
      <c r="J249" t="str">
        <v>Alta</v>
      </c>
      <c r="K249" s="183">
        <v>46157</v>
      </c>
      <c r="L249" s="183">
        <v>0</v>
      </c>
      <c r="M249" s="188" t="str">
        <v>TBD</v>
      </c>
      <c r="N249">
        <v>0</v>
      </c>
      <c r="O249" t="str">
        <v>Willy V</v>
      </c>
      <c r="P249" t="b">
        <v>0</v>
      </c>
      <c r="Q249" t="str">
        <v>1.Identificada</v>
      </c>
      <c r="R249" t="str">
        <v>Soporte</v>
      </c>
      <c r="S249">
        <v>0</v>
      </c>
      <c r="T249" t="str">
        <v>N</v>
      </c>
    </row>
    <row r="250" spans="1:20">
      <c r="A250">
        <v>24</v>
      </c>
      <c r="B250" t="str">
        <v>Aplicaciones de soporte</v>
      </c>
      <c r="C250" t="str">
        <v>Mapa</v>
      </c>
      <c r="D250" t="str">
        <v>MF-JH-0048</v>
      </c>
      <c r="E250" t="str">
        <v>Soporte / Spring ERP / Gestión Contable / Cierre Contable</v>
      </c>
      <c r="F250" t="str">
        <v>Comunication Manager</v>
      </c>
      <c r="G250" t="str">
        <v>Habilitación de interfaz de correos</v>
      </c>
      <c r="H250" t="str">
        <v>Habilitar el envio de correos internos y/o externos</v>
      </c>
      <c r="I250" t="str">
        <v>Técnica</v>
      </c>
      <c r="J250" t="str">
        <v>Alta</v>
      </c>
      <c r="K250" s="183">
        <v>46157</v>
      </c>
      <c r="L250" s="183">
        <v>0</v>
      </c>
      <c r="M250" s="188" t="str">
        <v>TBD</v>
      </c>
      <c r="N250">
        <v>0</v>
      </c>
      <c r="O250" t="str">
        <v>Willy V</v>
      </c>
      <c r="P250" t="b">
        <v>0</v>
      </c>
      <c r="Q250" t="str">
        <v>1.Identificada</v>
      </c>
      <c r="R250" t="str">
        <v>Soporte</v>
      </c>
      <c r="S250">
        <v>0</v>
      </c>
      <c r="T250" t="str">
        <v>N</v>
      </c>
    </row>
    <row r="251" spans="1:20">
      <c r="A251">
        <v>25</v>
      </c>
      <c r="B251" t="str">
        <v>Aplicaciones de soporte</v>
      </c>
      <c r="C251" t="str">
        <v>Mapa</v>
      </c>
      <c r="D251" t="str">
        <v>MF-JH-0049</v>
      </c>
      <c r="E251" t="str">
        <v>Soporte / Spring ERP / Reportes / Reportes y Consultas</v>
      </c>
      <c r="F251" t="str">
        <v>Comunication Manager</v>
      </c>
      <c r="G251" t="str">
        <v>Habilitación de interfaz de correos</v>
      </c>
      <c r="H251" t="str">
        <v>Habilitar el envio de correos internos y/o externos</v>
      </c>
      <c r="I251" t="str">
        <v>Técnica</v>
      </c>
      <c r="J251" t="str">
        <v>Alta</v>
      </c>
      <c r="K251" s="183">
        <v>46157</v>
      </c>
      <c r="L251" s="183">
        <v>0</v>
      </c>
      <c r="M251" s="188" t="str">
        <v>TBD</v>
      </c>
      <c r="N251">
        <v>0</v>
      </c>
      <c r="O251" t="str">
        <v>Willy V</v>
      </c>
      <c r="P251" t="b">
        <v>0</v>
      </c>
      <c r="Q251" t="str">
        <v>1.Identificada</v>
      </c>
      <c r="R251" t="str">
        <v>Soporte</v>
      </c>
      <c r="S251">
        <v>0</v>
      </c>
      <c r="T251" t="str">
        <v>N</v>
      </c>
    </row>
    <row r="252" spans="1:20">
      <c r="A252">
        <v>26</v>
      </c>
      <c r="B252" t="str">
        <v>Aplicaciones de soporte</v>
      </c>
      <c r="C252" t="str">
        <v>Mapa</v>
      </c>
      <c r="D252" t="str">
        <v>MF-JH-0028</v>
      </c>
      <c r="E252" t="str">
        <v>Soporte / Spring ERP / Gestión de Logistica / Logistica de Proveedores</v>
      </c>
      <c r="F252" t="str">
        <v>Infraestructura</v>
      </c>
      <c r="G252" t="str">
        <v>Habilitación de infraestructura</v>
      </c>
      <c r="H252" t="str">
        <v>Habilitar la infraestructura AWS</v>
      </c>
      <c r="I252" t="str">
        <v>Técnica</v>
      </c>
      <c r="J252" t="str">
        <v>Alta</v>
      </c>
      <c r="K252" s="183">
        <v>46157</v>
      </c>
      <c r="L252" s="183">
        <v>0</v>
      </c>
      <c r="M252" s="188">
        <v>46157</v>
      </c>
      <c r="N252">
        <v>0</v>
      </c>
      <c r="O252" t="str">
        <v>Hector G.</v>
      </c>
      <c r="P252" t="b">
        <v>0</v>
      </c>
      <c r="Q252" t="str">
        <v>2.Solicitada</v>
      </c>
      <c r="R252" t="str">
        <v>Soporte</v>
      </c>
      <c r="S252">
        <v>0</v>
      </c>
      <c r="T252" t="str">
        <v>N</v>
      </c>
    </row>
    <row r="253" spans="1:20">
      <c r="A253">
        <v>27</v>
      </c>
      <c r="B253" t="str">
        <v>Aplicaciones de soporte</v>
      </c>
      <c r="C253" t="str">
        <v>Mapa</v>
      </c>
      <c r="D253" t="str">
        <v>MF-JH-0029</v>
      </c>
      <c r="E253" t="str">
        <v>Soporte / Spring ERP / Gestión de Logistica / Logistica de Economato</v>
      </c>
      <c r="F253" t="str">
        <v>Infraestructura</v>
      </c>
      <c r="G253" t="str">
        <v>Habilitación de infraestructura</v>
      </c>
      <c r="H253" t="str">
        <v>Habilitar la infraestructura AWS</v>
      </c>
      <c r="I253" t="str">
        <v>Técnica</v>
      </c>
      <c r="J253" t="str">
        <v>Alta</v>
      </c>
      <c r="K253" s="183">
        <v>46157</v>
      </c>
      <c r="L253" s="183">
        <v>0</v>
      </c>
      <c r="M253" s="188">
        <v>46157</v>
      </c>
      <c r="N253">
        <v>0</v>
      </c>
      <c r="O253" t="str">
        <v>Hector G.</v>
      </c>
      <c r="P253" t="b">
        <v>0</v>
      </c>
      <c r="Q253" t="str">
        <v>2.Solicitada</v>
      </c>
      <c r="R253" t="str">
        <v>Soporte</v>
      </c>
      <c r="S253">
        <v>0</v>
      </c>
      <c r="T253" t="str">
        <v>N</v>
      </c>
    </row>
    <row r="254" spans="1:20">
      <c r="A254">
        <v>28</v>
      </c>
      <c r="B254" t="str">
        <v>Aplicaciones de soporte</v>
      </c>
      <c r="C254" t="str">
        <v>Mapa</v>
      </c>
      <c r="D254" t="str">
        <v>MF-JH-0030</v>
      </c>
      <c r="E254" t="str">
        <v>Soporte / Spring ERP / Gestión de Logistica / Mantenimiento de Oficinas</v>
      </c>
      <c r="F254" t="str">
        <v>Infraestructura</v>
      </c>
      <c r="G254" t="str">
        <v>Habilitación de infraestructura</v>
      </c>
      <c r="H254" t="str">
        <v>Habilitar la infraestructura AWS</v>
      </c>
      <c r="I254" t="str">
        <v>Técnica</v>
      </c>
      <c r="J254" t="str">
        <v>Alta</v>
      </c>
      <c r="K254" s="183">
        <v>46157</v>
      </c>
      <c r="L254" s="183">
        <v>0</v>
      </c>
      <c r="M254" s="188">
        <v>46157</v>
      </c>
      <c r="N254">
        <v>0</v>
      </c>
      <c r="O254" t="str">
        <v>Hector G.</v>
      </c>
      <c r="P254" t="b">
        <v>0</v>
      </c>
      <c r="Q254" t="str">
        <v>2.Solicitada</v>
      </c>
      <c r="R254" t="str">
        <v>Soporte</v>
      </c>
      <c r="S254">
        <v>0</v>
      </c>
      <c r="T254" t="str">
        <v>N</v>
      </c>
    </row>
    <row r="255" spans="1:20">
      <c r="A255">
        <v>29</v>
      </c>
      <c r="B255" t="str">
        <v>Aplicaciones de soporte</v>
      </c>
      <c r="C255" t="str">
        <v>Mapa</v>
      </c>
      <c r="D255" t="str">
        <v>MF-JH-0031</v>
      </c>
      <c r="E255" t="str">
        <v>Soporte / Spring ERP / Gestión de Logistica / Logistica de Mantenimiento de Almacén</v>
      </c>
      <c r="F255" t="str">
        <v>Infraestructura</v>
      </c>
      <c r="G255" t="str">
        <v>Habilitación de infraestructura</v>
      </c>
      <c r="H255" t="str">
        <v>Habilitar la infraestructura AWS</v>
      </c>
      <c r="I255" t="str">
        <v>Técnica</v>
      </c>
      <c r="J255" t="str">
        <v>Alta</v>
      </c>
      <c r="K255" s="183">
        <v>46157</v>
      </c>
      <c r="L255" s="183">
        <v>0</v>
      </c>
      <c r="M255" s="188">
        <v>46157</v>
      </c>
      <c r="N255">
        <v>0</v>
      </c>
      <c r="O255" t="str">
        <v>Hector G.</v>
      </c>
      <c r="P255" t="b">
        <v>0</v>
      </c>
      <c r="Q255" t="str">
        <v>2.Solicitada</v>
      </c>
      <c r="R255" t="str">
        <v>Soporte</v>
      </c>
      <c r="S255">
        <v>0</v>
      </c>
      <c r="T255" t="str">
        <v>N</v>
      </c>
    </row>
    <row r="256" spans="1:20">
      <c r="A256">
        <v>30</v>
      </c>
      <c r="B256" t="str">
        <v>Aplicaciones de soporte</v>
      </c>
      <c r="C256" t="str">
        <v>Mapa</v>
      </c>
      <c r="D256" t="str">
        <v>MF-JH-0032</v>
      </c>
      <c r="E256" t="str">
        <v>Soporte / Spring ERP / Gestión de Contratos / Asignación de presupuesto</v>
      </c>
      <c r="F256" t="str">
        <v>Infraestructura</v>
      </c>
      <c r="G256" t="str">
        <v>Habilitación de infraestructura</v>
      </c>
      <c r="H256" t="str">
        <v>Habilitar la infraestructura AWS</v>
      </c>
      <c r="I256" t="str">
        <v>Técnica</v>
      </c>
      <c r="J256" t="str">
        <v>Alta</v>
      </c>
      <c r="K256" s="183">
        <v>46157</v>
      </c>
      <c r="L256" s="183">
        <v>0</v>
      </c>
      <c r="M256" s="188">
        <v>46157</v>
      </c>
      <c r="N256">
        <v>0</v>
      </c>
      <c r="O256" t="str">
        <v>Hector G.</v>
      </c>
      <c r="P256" t="b">
        <v>0</v>
      </c>
      <c r="Q256" t="str">
        <v>2.Solicitada</v>
      </c>
      <c r="R256" t="str">
        <v>Soporte</v>
      </c>
      <c r="S256">
        <v>0</v>
      </c>
      <c r="T256" t="str">
        <v>N</v>
      </c>
    </row>
    <row r="257" spans="1:20">
      <c r="A257">
        <v>31</v>
      </c>
      <c r="B257" t="str">
        <v>Aplicaciones de soporte</v>
      </c>
      <c r="C257" t="str">
        <v>Mapa</v>
      </c>
      <c r="D257" t="str">
        <v>MF-JH-0033</v>
      </c>
      <c r="E257" t="str">
        <v>Soporte / Spring ERP / Gestión de Contratos / Registro de Contratos de proveedores</v>
      </c>
      <c r="F257" t="str">
        <v>Infraestructura</v>
      </c>
      <c r="G257" t="str">
        <v>Habilitación de infraestructura</v>
      </c>
      <c r="H257" t="str">
        <v>Habilitar la infraestructura AWS</v>
      </c>
      <c r="I257" t="str">
        <v>Técnica</v>
      </c>
      <c r="J257" t="str">
        <v>Alta</v>
      </c>
      <c r="K257" s="183">
        <v>46157</v>
      </c>
      <c r="L257" s="183">
        <v>0</v>
      </c>
      <c r="M257" s="188">
        <v>46157</v>
      </c>
      <c r="N257">
        <v>0</v>
      </c>
      <c r="O257" t="str">
        <v>Hector G.</v>
      </c>
      <c r="P257" t="b">
        <v>0</v>
      </c>
      <c r="Q257" t="str">
        <v>2.Solicitada</v>
      </c>
      <c r="R257" t="str">
        <v>Soporte</v>
      </c>
      <c r="S257">
        <v>0</v>
      </c>
      <c r="T257" t="str">
        <v>N</v>
      </c>
    </row>
    <row r="258" spans="1:20">
      <c r="A258">
        <v>32</v>
      </c>
      <c r="B258" t="str">
        <v>Aplicaciones de soporte</v>
      </c>
      <c r="C258" t="str">
        <v>Mapa</v>
      </c>
      <c r="D258" t="str">
        <v>MF-JH-0034</v>
      </c>
      <c r="E258" t="str">
        <v>Soporte / Spring ERP / Gestión de Contratos / Registro de adendas</v>
      </c>
      <c r="F258" t="str">
        <v>Infraestructura</v>
      </c>
      <c r="G258" t="str">
        <v>Habilitación de infraestructura</v>
      </c>
      <c r="H258" t="str">
        <v>Habilitar la infraestructura AWS</v>
      </c>
      <c r="I258" t="str">
        <v>Técnica</v>
      </c>
      <c r="J258" t="str">
        <v>Alta</v>
      </c>
      <c r="K258" s="183">
        <v>46157</v>
      </c>
      <c r="L258" s="183">
        <v>0</v>
      </c>
      <c r="M258" s="188">
        <v>46157</v>
      </c>
      <c r="N258">
        <v>0</v>
      </c>
      <c r="O258" t="str">
        <v>Hector G.</v>
      </c>
      <c r="P258" t="b">
        <v>0</v>
      </c>
      <c r="Q258" t="str">
        <v>2.Solicitada</v>
      </c>
      <c r="R258" t="str">
        <v>Soporte</v>
      </c>
      <c r="S258">
        <v>0</v>
      </c>
      <c r="T258" t="str">
        <v>N</v>
      </c>
    </row>
    <row r="259" spans="1:20">
      <c r="A259">
        <v>33</v>
      </c>
      <c r="B259" t="str">
        <v>Aplicaciones de soporte</v>
      </c>
      <c r="C259" t="str">
        <v>Mapa</v>
      </c>
      <c r="D259" t="str">
        <v>MF-JH-0035</v>
      </c>
      <c r="E259" t="str">
        <v>Soporte / Spring ERP / Gestión de Contratos / Actualización de saldos</v>
      </c>
      <c r="F259" t="str">
        <v>Infraestructura</v>
      </c>
      <c r="G259" t="str">
        <v>Habilitación de infraestructura</v>
      </c>
      <c r="H259" t="str">
        <v>Habilitar la infraestructura AWS</v>
      </c>
      <c r="I259" t="str">
        <v>Técnica</v>
      </c>
      <c r="J259" t="str">
        <v>Alta</v>
      </c>
      <c r="K259" s="183">
        <v>46157</v>
      </c>
      <c r="L259" s="183">
        <v>0</v>
      </c>
      <c r="M259" s="188">
        <v>46157</v>
      </c>
      <c r="N259">
        <v>0</v>
      </c>
      <c r="O259" t="str">
        <v>Hector G.</v>
      </c>
      <c r="P259" t="b">
        <v>0</v>
      </c>
      <c r="Q259" t="str">
        <v>2.Solicitada</v>
      </c>
      <c r="R259" t="str">
        <v>Soporte</v>
      </c>
      <c r="S259">
        <v>0</v>
      </c>
      <c r="T259" t="str">
        <v>N</v>
      </c>
    </row>
    <row r="260" spans="1:20">
      <c r="A260">
        <v>34</v>
      </c>
      <c r="B260" t="str">
        <v>Aplicaciones de soporte</v>
      </c>
      <c r="C260" t="str">
        <v>Mapa</v>
      </c>
      <c r="D260" t="str">
        <v>MF-JH-0036</v>
      </c>
      <c r="E260" t="str">
        <v>Soporte / Spring ERP / Pago de Obligaciones / Pagos de servicios públicos (agua, luz, etc)</v>
      </c>
      <c r="F260" t="str">
        <v>Infraestructura</v>
      </c>
      <c r="G260" t="str">
        <v>Habilitación de infraestructura</v>
      </c>
      <c r="H260" t="str">
        <v>Habilitar la infraestructura AWS</v>
      </c>
      <c r="I260" t="str">
        <v>Técnica</v>
      </c>
      <c r="J260" t="str">
        <v>Alta</v>
      </c>
      <c r="K260" s="183">
        <v>46157</v>
      </c>
      <c r="L260" s="183">
        <v>0</v>
      </c>
      <c r="M260" s="188">
        <v>46157</v>
      </c>
      <c r="N260">
        <v>0</v>
      </c>
      <c r="O260" t="str">
        <v>Hector G.</v>
      </c>
      <c r="P260" t="b">
        <v>0</v>
      </c>
      <c r="Q260" t="str">
        <v>2.Solicitada</v>
      </c>
      <c r="R260" t="str">
        <v>Soporte</v>
      </c>
      <c r="S260">
        <v>0</v>
      </c>
      <c r="T260" t="str">
        <v>N</v>
      </c>
    </row>
    <row r="261" spans="1:20">
      <c r="A261">
        <v>35</v>
      </c>
      <c r="B261" t="str">
        <v>Aplicaciones de soporte</v>
      </c>
      <c r="C261" t="str">
        <v>Mapa</v>
      </c>
      <c r="D261" t="str">
        <v>MF-JH-0037</v>
      </c>
      <c r="E261" t="str">
        <v>Soporte / Spring ERP / Pago de Obligaciones / Pagos de servicios públicos (agua, luz, etc)</v>
      </c>
      <c r="F261" t="str">
        <v>Infraestructura</v>
      </c>
      <c r="G261" t="str">
        <v>Habilitación de infraestructura</v>
      </c>
      <c r="H261" t="str">
        <v>Habilitar la infraestructura AWS</v>
      </c>
      <c r="I261" t="str">
        <v>Técnica</v>
      </c>
      <c r="J261" t="str">
        <v>Alta</v>
      </c>
      <c r="K261" s="183">
        <v>46157</v>
      </c>
      <c r="L261" s="183">
        <v>0</v>
      </c>
      <c r="M261" s="188">
        <v>46157</v>
      </c>
      <c r="N261">
        <v>0</v>
      </c>
      <c r="O261" t="str">
        <v>Hector G.</v>
      </c>
      <c r="P261" t="b">
        <v>0</v>
      </c>
      <c r="Q261" t="str">
        <v>2.Solicitada</v>
      </c>
      <c r="R261" t="str">
        <v>Soporte</v>
      </c>
      <c r="S261">
        <v>0</v>
      </c>
      <c r="T261" t="str">
        <v>N</v>
      </c>
    </row>
    <row r="262" spans="1:20">
      <c r="A262">
        <v>36</v>
      </c>
      <c r="B262" t="str">
        <v>Aplicaciones de soporte</v>
      </c>
      <c r="C262" t="str">
        <v>Mapa</v>
      </c>
      <c r="D262" t="str">
        <v>MF-JH-0002</v>
      </c>
      <c r="E262" t="str">
        <v>Soporte / Spring ERP / Pago de Obligaciones / Habilitación de plantilla Telebanking</v>
      </c>
      <c r="F262" t="str">
        <v>Infraestructura</v>
      </c>
      <c r="G262" t="str">
        <v>Habilitación de infraestructura</v>
      </c>
      <c r="H262" t="str">
        <v>Habilitar la infraestructura AWS</v>
      </c>
      <c r="I262" t="str">
        <v>Técnica</v>
      </c>
      <c r="J262" t="str">
        <v>Alta</v>
      </c>
      <c r="K262" s="183">
        <v>46157</v>
      </c>
      <c r="L262" s="183">
        <v>0</v>
      </c>
      <c r="M262" s="188">
        <v>46157</v>
      </c>
      <c r="N262">
        <v>0</v>
      </c>
      <c r="O262" t="str">
        <v>Hector G.</v>
      </c>
      <c r="P262" t="b">
        <v>0</v>
      </c>
      <c r="Q262" t="str">
        <v>2.Solicitada</v>
      </c>
      <c r="R262" t="str">
        <v>Soporte</v>
      </c>
      <c r="S262">
        <v>0</v>
      </c>
      <c r="T262" t="str">
        <v>N</v>
      </c>
    </row>
    <row r="263" spans="1:20">
      <c r="A263">
        <v>37</v>
      </c>
      <c r="B263" t="str">
        <v>Aplicaciones de soporte</v>
      </c>
      <c r="C263" t="str">
        <v>Mapa</v>
      </c>
      <c r="D263" t="str">
        <v>MF-JH-0003</v>
      </c>
      <c r="E263" t="str">
        <v>Soporte / Spring ERP / Pago de Obligaciones / Habilitación de plantilla SUNAT</v>
      </c>
      <c r="F263" t="str">
        <v>Infraestructura</v>
      </c>
      <c r="G263" t="str">
        <v>Habilitación de infraestructura</v>
      </c>
      <c r="H263" t="str">
        <v>Habilitar la infraestructura AWS</v>
      </c>
      <c r="I263" t="str">
        <v>Técnica</v>
      </c>
      <c r="J263" t="str">
        <v>Alta</v>
      </c>
      <c r="K263" s="183">
        <v>46157</v>
      </c>
      <c r="L263" s="183">
        <v>0</v>
      </c>
      <c r="M263" s="188">
        <v>46157</v>
      </c>
      <c r="N263">
        <v>0</v>
      </c>
      <c r="O263" t="str">
        <v>Hector G.</v>
      </c>
      <c r="P263" t="b">
        <v>0</v>
      </c>
      <c r="Q263" t="str">
        <v>2.Solicitada</v>
      </c>
      <c r="R263" t="str">
        <v>Soporte</v>
      </c>
      <c r="S263">
        <v>0</v>
      </c>
      <c r="T263" t="str">
        <v>N</v>
      </c>
    </row>
    <row r="264" spans="1:20">
      <c r="A264">
        <v>38</v>
      </c>
      <c r="B264" t="str">
        <v>Aplicaciones de soporte</v>
      </c>
      <c r="C264" t="str">
        <v>Mapa</v>
      </c>
      <c r="D264" t="str">
        <v>MF-JH-0004</v>
      </c>
      <c r="E264" t="str">
        <v>Soporte / Spring ERP / Pago de Obligaciones / Habilitación de Sincronización de Empleados Adryan</v>
      </c>
      <c r="F264" t="str">
        <v>Infraestructura</v>
      </c>
      <c r="G264" t="str">
        <v>Habilitación de infraestructura</v>
      </c>
      <c r="H264" t="str">
        <v>Habilitar la infraestructura AWS</v>
      </c>
      <c r="I264" t="str">
        <v>Técnica</v>
      </c>
      <c r="J264" t="str">
        <v>Alta</v>
      </c>
      <c r="K264" s="183">
        <v>46157</v>
      </c>
      <c r="L264" s="183">
        <v>0</v>
      </c>
      <c r="M264" s="188">
        <v>46157</v>
      </c>
      <c r="N264">
        <v>0</v>
      </c>
      <c r="O264" t="str">
        <v>Hector G.</v>
      </c>
      <c r="P264" t="b">
        <v>0</v>
      </c>
      <c r="Q264" t="str">
        <v>2.Solicitada</v>
      </c>
      <c r="R264" t="str">
        <v>Soporte</v>
      </c>
      <c r="S264">
        <v>0</v>
      </c>
      <c r="T264" t="str">
        <v>N</v>
      </c>
    </row>
    <row r="265" spans="1:20">
      <c r="A265">
        <v>39</v>
      </c>
      <c r="B265" t="str">
        <v>Aplicaciones de soporte</v>
      </c>
      <c r="C265" t="str">
        <v>Mapa</v>
      </c>
      <c r="D265" t="str">
        <v>MF-JH-0005</v>
      </c>
      <c r="E265" t="str">
        <v>Soporte / Spring ERP / Gestión Contable / Habilitación de Asientos Contables con el Core</v>
      </c>
      <c r="F265" t="str">
        <v>Infraestructura</v>
      </c>
      <c r="G265" t="str">
        <v>Habilitación de infraestructura</v>
      </c>
      <c r="H265" t="str">
        <v>Habilitar la infraestructura AWS</v>
      </c>
      <c r="I265" t="str">
        <v>Técnica</v>
      </c>
      <c r="J265" t="str">
        <v>Alta</v>
      </c>
      <c r="K265" s="183">
        <v>46157</v>
      </c>
      <c r="L265" s="183">
        <v>0</v>
      </c>
      <c r="M265" s="188">
        <v>46157</v>
      </c>
      <c r="N265">
        <v>0</v>
      </c>
      <c r="O265" t="str">
        <v>Hector G.</v>
      </c>
      <c r="P265" t="b">
        <v>0</v>
      </c>
      <c r="Q265" t="str">
        <v>2.Solicitada</v>
      </c>
      <c r="R265" t="str">
        <v>Soporte</v>
      </c>
      <c r="S265">
        <v>0</v>
      </c>
      <c r="T265" t="str">
        <v>N</v>
      </c>
    </row>
    <row r="266" spans="1:20">
      <c r="A266">
        <v>40</v>
      </c>
      <c r="B266" t="str">
        <v>Aplicaciones de soporte</v>
      </c>
      <c r="C266" t="str">
        <v>Mapa</v>
      </c>
      <c r="D266" t="str">
        <v>MF-JH-0038</v>
      </c>
      <c r="E266" t="str">
        <v>Soporte / Spring ERP / Pago de Obligaciones / Cuentas por pagar/cobrar</v>
      </c>
      <c r="F266" t="str">
        <v>Infraestructura</v>
      </c>
      <c r="G266" t="str">
        <v>Habilitación de infraestructura</v>
      </c>
      <c r="H266" t="str">
        <v>Habilitar la infraestructura AWS</v>
      </c>
      <c r="I266" t="str">
        <v>Técnica</v>
      </c>
      <c r="J266" t="str">
        <v>Alta</v>
      </c>
      <c r="K266" s="183">
        <v>46157</v>
      </c>
      <c r="L266" s="183">
        <v>0</v>
      </c>
      <c r="M266" s="188">
        <v>46157</v>
      </c>
      <c r="N266">
        <v>0</v>
      </c>
      <c r="O266" t="str">
        <v>Hector G.</v>
      </c>
      <c r="P266" t="b">
        <v>0</v>
      </c>
      <c r="Q266" t="str">
        <v>2.Solicitada</v>
      </c>
      <c r="R266" t="str">
        <v>Soporte</v>
      </c>
      <c r="S266">
        <v>0</v>
      </c>
      <c r="T266" t="str">
        <v>N</v>
      </c>
    </row>
    <row r="267" spans="1:20">
      <c r="A267">
        <v>41</v>
      </c>
      <c r="B267" t="str">
        <v>Aplicaciones de soporte</v>
      </c>
      <c r="C267" t="str">
        <v>Mapa</v>
      </c>
      <c r="D267" t="str">
        <v>MF-JH-0039</v>
      </c>
      <c r="E267" t="str">
        <v>Soporte / Spring ERP / Gestión de activos / Alta y Baja de Activos fijos</v>
      </c>
      <c r="F267" t="str">
        <v>Infraestructura</v>
      </c>
      <c r="G267" t="str">
        <v>Habilitación de infraestructura</v>
      </c>
      <c r="H267" t="str">
        <v>Habilitar la infraestructura AWS</v>
      </c>
      <c r="I267" t="str">
        <v>Técnica</v>
      </c>
      <c r="J267" t="str">
        <v>Alta</v>
      </c>
      <c r="K267" s="183">
        <v>46157</v>
      </c>
      <c r="L267" s="183">
        <v>0</v>
      </c>
      <c r="M267" s="188">
        <v>46157</v>
      </c>
      <c r="N267">
        <v>0</v>
      </c>
      <c r="O267" t="str">
        <v>Hector G.</v>
      </c>
      <c r="P267" t="b">
        <v>0</v>
      </c>
      <c r="Q267" t="str">
        <v>2.Solicitada</v>
      </c>
      <c r="R267" t="str">
        <v>Soporte</v>
      </c>
      <c r="S267">
        <v>0</v>
      </c>
      <c r="T267" t="str">
        <v>N</v>
      </c>
    </row>
    <row r="268" spans="1:20">
      <c r="A268">
        <v>42</v>
      </c>
      <c r="B268" t="str">
        <v>Aplicaciones de soporte</v>
      </c>
      <c r="C268" t="str">
        <v>Mapa</v>
      </c>
      <c r="D268" t="str">
        <v>MF-JH-0040</v>
      </c>
      <c r="E268" t="str">
        <v>Soporte / Spring ERP / Presupuesto / Control de Presupuesto</v>
      </c>
      <c r="F268" t="str">
        <v>Infraestructura</v>
      </c>
      <c r="G268" t="str">
        <v>Habilitación de infraestructura</v>
      </c>
      <c r="H268" t="str">
        <v>Habilitar la infraestructura AWS</v>
      </c>
      <c r="I268" t="str">
        <v>Técnica</v>
      </c>
      <c r="J268" t="str">
        <v>Alta</v>
      </c>
      <c r="K268" s="183">
        <v>46157</v>
      </c>
      <c r="L268" s="183">
        <v>0</v>
      </c>
      <c r="M268" s="188">
        <v>46157</v>
      </c>
      <c r="N268">
        <v>0</v>
      </c>
      <c r="O268" t="str">
        <v>Hector G.</v>
      </c>
      <c r="P268" t="b">
        <v>0</v>
      </c>
      <c r="Q268" t="str">
        <v>2.Solicitada</v>
      </c>
      <c r="R268" t="str">
        <v>Soporte</v>
      </c>
      <c r="S268">
        <v>0</v>
      </c>
      <c r="T268" t="str">
        <v>N</v>
      </c>
    </row>
    <row r="269" spans="1:20">
      <c r="A269">
        <v>43</v>
      </c>
      <c r="B269" t="str">
        <v>Aplicaciones de soporte</v>
      </c>
      <c r="C269" t="str">
        <v>Mapa</v>
      </c>
      <c r="D269" t="str">
        <v>MF-JH-0041</v>
      </c>
      <c r="E269" t="str">
        <v>Soporte / Spring ERP / Presupuesto / Inicial de presupuesto anual</v>
      </c>
      <c r="F269" t="str">
        <v>Infraestructura</v>
      </c>
      <c r="G269" t="str">
        <v>Habilitación de infraestructura</v>
      </c>
      <c r="H269" t="str">
        <v>Habilitar la infraestructura AWS</v>
      </c>
      <c r="I269" t="str">
        <v>Técnica</v>
      </c>
      <c r="J269" t="str">
        <v>Alta</v>
      </c>
      <c r="K269" s="183">
        <v>46157</v>
      </c>
      <c r="L269" s="183">
        <v>0</v>
      </c>
      <c r="M269" s="188">
        <v>46157</v>
      </c>
      <c r="N269">
        <v>0</v>
      </c>
      <c r="O269" t="str">
        <v>Hector G.</v>
      </c>
      <c r="P269" t="b">
        <v>0</v>
      </c>
      <c r="Q269" t="str">
        <v>2.Solicitada</v>
      </c>
      <c r="R269" t="str">
        <v>Soporte</v>
      </c>
      <c r="S269">
        <v>0</v>
      </c>
      <c r="T269" t="str">
        <v>N</v>
      </c>
    </row>
    <row r="270" spans="1:20">
      <c r="A270">
        <v>44</v>
      </c>
      <c r="B270" t="str">
        <v>Aplicaciones de soporte</v>
      </c>
      <c r="C270" t="str">
        <v>Mapa</v>
      </c>
      <c r="D270" t="str">
        <v>MF-JH-0042</v>
      </c>
      <c r="E270" t="str">
        <v>Soporte / Spring ERP / Pago de Obligaciones / Recepción de facturas</v>
      </c>
      <c r="F270" t="str">
        <v>Infraestructura</v>
      </c>
      <c r="G270" t="str">
        <v>Habilitación de infraestructura</v>
      </c>
      <c r="H270" t="str">
        <v>Habilitar la infraestructura AWS</v>
      </c>
      <c r="I270" t="str">
        <v>Técnica</v>
      </c>
      <c r="J270" t="str">
        <v>Alta</v>
      </c>
      <c r="K270" s="183">
        <v>46157</v>
      </c>
      <c r="L270" s="183">
        <v>0</v>
      </c>
      <c r="M270" s="188">
        <v>46157</v>
      </c>
      <c r="N270">
        <v>0</v>
      </c>
      <c r="O270" t="str">
        <v>Hector G.</v>
      </c>
      <c r="P270" t="b">
        <v>0</v>
      </c>
      <c r="Q270" t="str">
        <v>2.Solicitada</v>
      </c>
      <c r="R270" t="str">
        <v>Soporte</v>
      </c>
      <c r="S270">
        <v>0</v>
      </c>
      <c r="T270" t="str">
        <v>N</v>
      </c>
    </row>
    <row r="271" spans="1:20">
      <c r="A271">
        <v>45</v>
      </c>
      <c r="B271" t="str">
        <v>Aplicaciones de soporte</v>
      </c>
      <c r="C271" t="str">
        <v>Mapa</v>
      </c>
      <c r="D271" t="str">
        <v>MF-JH-0043</v>
      </c>
      <c r="E271" t="str">
        <v>Soporte / Spring ERP / Gestión de Contratos / Registro de Contratos de proveedores</v>
      </c>
      <c r="F271" t="str">
        <v>Infraestructura</v>
      </c>
      <c r="G271" t="str">
        <v>Habilitación de infraestructura</v>
      </c>
      <c r="H271" t="str">
        <v>Habilitar la infraestructura AWS</v>
      </c>
      <c r="I271" t="str">
        <v>Técnica</v>
      </c>
      <c r="J271" t="str">
        <v>Alta</v>
      </c>
      <c r="K271" s="183">
        <v>46157</v>
      </c>
      <c r="L271" s="183">
        <v>0</v>
      </c>
      <c r="M271" s="188">
        <v>46157</v>
      </c>
      <c r="N271">
        <v>0</v>
      </c>
      <c r="O271" t="str">
        <v>Hector G.</v>
      </c>
      <c r="P271" t="b">
        <v>0</v>
      </c>
      <c r="Q271" t="str">
        <v>2.Solicitada</v>
      </c>
      <c r="R271" t="str">
        <v>Soporte</v>
      </c>
      <c r="S271">
        <v>0</v>
      </c>
      <c r="T271" t="str">
        <v>N</v>
      </c>
    </row>
    <row r="272" spans="1:20">
      <c r="A272">
        <v>46</v>
      </c>
      <c r="B272" t="str">
        <v>Aplicaciones de soporte</v>
      </c>
      <c r="C272" t="str">
        <v>Mapa</v>
      </c>
      <c r="D272" t="str">
        <v>MF-JH-0044</v>
      </c>
      <c r="E272" t="str">
        <v>Soporte / Spring ERP / Pago de Obligaciones / Pago a Proveedores</v>
      </c>
      <c r="F272" t="str">
        <v>Infraestructura</v>
      </c>
      <c r="G272" t="str">
        <v>Habilitación de infraestructura</v>
      </c>
      <c r="H272" t="str">
        <v>Habilitar la infraestructura AWS</v>
      </c>
      <c r="I272" t="str">
        <v>Técnica</v>
      </c>
      <c r="J272" t="str">
        <v>Alta</v>
      </c>
      <c r="K272" s="183">
        <v>46157</v>
      </c>
      <c r="L272" s="183">
        <v>0</v>
      </c>
      <c r="M272" s="188">
        <v>46157</v>
      </c>
      <c r="N272">
        <v>0</v>
      </c>
      <c r="O272" t="str">
        <v>Hector G.</v>
      </c>
      <c r="P272" t="b">
        <v>0</v>
      </c>
      <c r="Q272" t="str">
        <v>2.Solicitada</v>
      </c>
      <c r="R272" t="str">
        <v>Soporte</v>
      </c>
      <c r="S272">
        <v>0</v>
      </c>
      <c r="T272" t="str">
        <v>N</v>
      </c>
    </row>
    <row r="273" spans="1:20">
      <c r="A273">
        <v>47</v>
      </c>
      <c r="B273" t="str">
        <v>Aplicaciones de soporte</v>
      </c>
      <c r="C273" t="str">
        <v>Mapa</v>
      </c>
      <c r="D273" t="str">
        <v>MF-JH-0045</v>
      </c>
      <c r="E273" t="str">
        <v>Soporte / Spring ERP / Pago de Obligaciones / Aprobación de facturas</v>
      </c>
      <c r="F273" t="str">
        <v>Infraestructura</v>
      </c>
      <c r="G273" t="str">
        <v>Habilitación de infraestructura</v>
      </c>
      <c r="H273" t="str">
        <v>Habilitar la infraestructura AWS</v>
      </c>
      <c r="I273" t="str">
        <v>Técnica</v>
      </c>
      <c r="J273" t="str">
        <v>Alta</v>
      </c>
      <c r="K273" s="183">
        <v>46157</v>
      </c>
      <c r="L273" s="183">
        <v>0</v>
      </c>
      <c r="M273" s="188">
        <v>46157</v>
      </c>
      <c r="N273">
        <v>0</v>
      </c>
      <c r="O273" t="str">
        <v>Hector G.</v>
      </c>
      <c r="P273" t="b">
        <v>0</v>
      </c>
      <c r="Q273" t="str">
        <v>2.Solicitada</v>
      </c>
      <c r="R273" t="str">
        <v>Soporte</v>
      </c>
      <c r="S273">
        <v>0</v>
      </c>
      <c r="T273" t="str">
        <v>N</v>
      </c>
    </row>
    <row r="274" spans="1:20">
      <c r="A274">
        <v>48</v>
      </c>
      <c r="B274" t="str">
        <v>Aplicaciones de soporte</v>
      </c>
      <c r="C274" t="str">
        <v>Mapa</v>
      </c>
      <c r="D274" t="str">
        <v>MF-JH-0046</v>
      </c>
      <c r="E274" t="str">
        <v>Soporte / Spring ERP / Pago de Obligaciones / Pago de tributo e impuestos</v>
      </c>
      <c r="F274" t="str">
        <v>Infraestructura</v>
      </c>
      <c r="G274" t="str">
        <v>Habilitación de infraestructura</v>
      </c>
      <c r="H274" t="str">
        <v>Habilitar la infraestructura AWS</v>
      </c>
      <c r="I274" t="str">
        <v>Técnica</v>
      </c>
      <c r="J274" t="str">
        <v>Alta</v>
      </c>
      <c r="K274" s="183">
        <v>46157</v>
      </c>
      <c r="L274" s="183">
        <v>0</v>
      </c>
      <c r="M274" s="188">
        <v>46157</v>
      </c>
      <c r="N274">
        <v>0</v>
      </c>
      <c r="O274" t="str">
        <v>Hector G.</v>
      </c>
      <c r="P274" t="b">
        <v>0</v>
      </c>
      <c r="Q274" t="str">
        <v>2.Solicitada</v>
      </c>
      <c r="R274" t="str">
        <v>Soporte</v>
      </c>
      <c r="S274">
        <v>0</v>
      </c>
      <c r="T274" t="str">
        <v>N</v>
      </c>
    </row>
    <row r="275" spans="1:20">
      <c r="A275">
        <v>49</v>
      </c>
      <c r="B275" t="str">
        <v>Aplicaciones de soporte</v>
      </c>
      <c r="C275" t="str">
        <v>Mapa</v>
      </c>
      <c r="D275" t="str">
        <v>MF-JH-0047</v>
      </c>
      <c r="E275" t="str">
        <v>Soporte / Spring ERP / Gestión Contable / Generación de Asientos Contables</v>
      </c>
      <c r="F275" t="str">
        <v>Infraestructura</v>
      </c>
      <c r="G275" t="str">
        <v>Habilitación de infraestructura</v>
      </c>
      <c r="H275" t="str">
        <v>Habilitar la infraestructura AWS</v>
      </c>
      <c r="I275" t="str">
        <v>Técnica</v>
      </c>
      <c r="J275" t="str">
        <v>Alta</v>
      </c>
      <c r="K275" s="183">
        <v>46157</v>
      </c>
      <c r="L275" s="183">
        <v>0</v>
      </c>
      <c r="M275" s="188">
        <v>46157</v>
      </c>
      <c r="N275">
        <v>0</v>
      </c>
      <c r="O275" t="str">
        <v>Hector G.</v>
      </c>
      <c r="P275" t="b">
        <v>0</v>
      </c>
      <c r="Q275" t="str">
        <v>2.Solicitada</v>
      </c>
      <c r="R275" t="str">
        <v>Soporte</v>
      </c>
      <c r="S275">
        <v>0</v>
      </c>
      <c r="T275" t="str">
        <v>N</v>
      </c>
    </row>
    <row r="276" spans="1:20">
      <c r="A276">
        <v>50</v>
      </c>
      <c r="B276" t="str">
        <v>Aplicaciones de soporte</v>
      </c>
      <c r="C276" t="str">
        <v>Mapa</v>
      </c>
      <c r="D276" t="str">
        <v>MF-JH-0048</v>
      </c>
      <c r="E276" t="str">
        <v>Soporte / Spring ERP / Gestión Contable / Cierre Contable</v>
      </c>
      <c r="F276" t="str">
        <v>Infraestructura</v>
      </c>
      <c r="G276" t="str">
        <v>Habilitación de infraestructura</v>
      </c>
      <c r="H276" t="str">
        <v>Habilitar la infraestructura AWS</v>
      </c>
      <c r="I276" t="str">
        <v>Técnica</v>
      </c>
      <c r="J276" t="str">
        <v>Alta</v>
      </c>
      <c r="K276" s="183">
        <v>46157</v>
      </c>
      <c r="L276" s="183">
        <v>0</v>
      </c>
      <c r="M276" s="188">
        <v>46157</v>
      </c>
      <c r="N276">
        <v>0</v>
      </c>
      <c r="O276" t="str">
        <v>Hector G.</v>
      </c>
      <c r="P276" t="b">
        <v>0</v>
      </c>
      <c r="Q276" t="str">
        <v>2.Solicitada</v>
      </c>
      <c r="R276" t="str">
        <v>Soporte</v>
      </c>
      <c r="S276">
        <v>0</v>
      </c>
      <c r="T276" t="str">
        <v>N</v>
      </c>
    </row>
    <row r="277" spans="1:20">
      <c r="A277">
        <v>51</v>
      </c>
      <c r="B277" t="str">
        <v>Aplicaciones de soporte</v>
      </c>
      <c r="C277" t="str">
        <v>Mapa</v>
      </c>
      <c r="D277" t="str">
        <v>MF-JH-0049</v>
      </c>
      <c r="E277" t="str">
        <v>Soporte / Spring ERP / Reportes / Reportes y Consultas</v>
      </c>
      <c r="F277" t="str">
        <v>Infraestructura</v>
      </c>
      <c r="G277" t="str">
        <v>Habilitación de infraestructura</v>
      </c>
      <c r="H277" t="str">
        <v>Habilitar la infraestructura AWS</v>
      </c>
      <c r="I277" t="str">
        <v>Técnica</v>
      </c>
      <c r="J277" t="str">
        <v>Alta</v>
      </c>
      <c r="K277" s="183">
        <v>46157</v>
      </c>
      <c r="L277" s="183">
        <v>0</v>
      </c>
      <c r="M277" s="188">
        <v>46157</v>
      </c>
      <c r="N277">
        <v>0</v>
      </c>
      <c r="O277" t="str">
        <v>Hector G.</v>
      </c>
      <c r="P277" t="b">
        <v>0</v>
      </c>
      <c r="Q277" t="str">
        <v>2.Solicitada</v>
      </c>
      <c r="R277" t="str">
        <v>Soporte</v>
      </c>
      <c r="S277">
        <v>0</v>
      </c>
      <c r="T277" t="str">
        <v>N</v>
      </c>
    </row>
    <row r="278" spans="1:20">
      <c r="A278">
        <v>53</v>
      </c>
      <c r="B278" t="str">
        <v>Aplicaciones de soporte</v>
      </c>
      <c r="C278" t="str">
        <v>Mapa</v>
      </c>
      <c r="D278" t="str">
        <v>MF-JH-0026</v>
      </c>
      <c r="E278" t="str">
        <v>Soporte / Modellica (Motor de Cobranzas)</v>
      </c>
      <c r="F278" t="str">
        <v>Cards y Payments</v>
      </c>
      <c r="G278" t="str">
        <v>Definición de archivos y campos de Izipay para TC</v>
      </c>
      <c r="H278" t="str">
        <v>Definición de archivos y campos de Izipay para TC</v>
      </c>
      <c r="I278" t="str">
        <v>Técnica</v>
      </c>
      <c r="J278" t="str">
        <v>Alta</v>
      </c>
      <c r="K278" s="183">
        <v>46108</v>
      </c>
      <c r="L278" s="183">
        <v>0</v>
      </c>
      <c r="M278" s="188" t="str">
        <v>TBD</v>
      </c>
      <c r="N278">
        <v>0</v>
      </c>
      <c r="O278" t="str">
        <v>Freddy C.</v>
      </c>
      <c r="P278" t="b">
        <v>1</v>
      </c>
      <c r="Q278" t="str">
        <v>2.Solicitada</v>
      </c>
      <c r="R278" t="str">
        <v>Soporte</v>
      </c>
      <c r="S278">
        <v>0</v>
      </c>
      <c r="T278" t="str">
        <v>S</v>
      </c>
    </row>
    <row r="279" spans="1:20">
      <c r="A279">
        <v>54</v>
      </c>
      <c r="B279" t="str">
        <v>Aplicaciones de soporte</v>
      </c>
      <c r="C279" t="str">
        <v>Mapa</v>
      </c>
      <c r="D279" t="str">
        <v>MF-JH-0007</v>
      </c>
      <c r="E279" t="str">
        <v>Soporte / Consulta en Línea (RENIEC) / Consulta de la Ficha RENIEC</v>
      </c>
      <c r="F279" t="str">
        <v>Infraestructura</v>
      </c>
      <c r="G279" t="str">
        <v>Habilitación de infraestructura</v>
      </c>
      <c r="H279" t="str">
        <v>Habilitación de infraestructura en OnPremise y AWS</v>
      </c>
      <c r="I279" t="str">
        <v>Técnica</v>
      </c>
      <c r="J279" t="str">
        <v>Alta</v>
      </c>
      <c r="K279" s="183">
        <v>46111</v>
      </c>
      <c r="L279" s="183">
        <v>46132</v>
      </c>
      <c r="M279" s="188">
        <v>46142</v>
      </c>
      <c r="N279">
        <v>0</v>
      </c>
      <c r="O279" t="str">
        <v>Hector G.</v>
      </c>
      <c r="P279" t="b">
        <v>1</v>
      </c>
      <c r="Q279" t="str">
        <v>3.En progreso</v>
      </c>
      <c r="R279" t="str">
        <v>Soporte</v>
      </c>
      <c r="S279">
        <v>0</v>
      </c>
      <c r="T279" t="str">
        <v>S</v>
      </c>
    </row>
    <row r="280" spans="1:20">
      <c r="A280">
        <v>55</v>
      </c>
      <c r="B280" t="str">
        <v>Aplicaciones de soporte</v>
      </c>
      <c r="C280" t="str">
        <v>Mapa</v>
      </c>
      <c r="D280" t="str">
        <v>MF-JH-0007</v>
      </c>
      <c r="E280" t="str">
        <v>Soporte / Consulta en Línea (RENIEC) / Consulta de la Ficha RENIEC</v>
      </c>
      <c r="F280" t="str">
        <v>Proveedor Synopsis</v>
      </c>
      <c r="G280" t="str">
        <v>Despliegue de la Solución</v>
      </c>
      <c r="H280" t="str">
        <v>Despliegue de Solución de Synopsis en OnPremise y AWS</v>
      </c>
      <c r="I280" t="str">
        <v>Técnica</v>
      </c>
      <c r="J280" t="str">
        <v>Alta</v>
      </c>
      <c r="K280" s="183">
        <v>46142</v>
      </c>
      <c r="L280" s="183">
        <v>46142</v>
      </c>
      <c r="M280" s="188">
        <v>46171</v>
      </c>
      <c r="N280">
        <v>0</v>
      </c>
      <c r="O280" t="str">
        <v>Jaime H.</v>
      </c>
      <c r="P280" t="b">
        <v>1</v>
      </c>
      <c r="Q280" t="str">
        <v>2.Solicitada</v>
      </c>
      <c r="R280" t="str">
        <v>Soporte</v>
      </c>
      <c r="S280">
        <v>0</v>
      </c>
      <c r="T280" t="str">
        <v>S</v>
      </c>
    </row>
    <row r="281" spans="1:20">
      <c r="A281">
        <v>56</v>
      </c>
      <c r="B281" t="str">
        <v>Aplicaciones de soporte</v>
      </c>
      <c r="C281" t="str">
        <v>Mapa</v>
      </c>
      <c r="D281" t="str">
        <v>MF-JH-0025</v>
      </c>
      <c r="E281" t="str">
        <v>Soporte / Consulta en Línea (RENIEC) / Reporte diario de todas las consultas de la Ficha RENIEC por usuario</v>
      </c>
      <c r="F281" t="str">
        <v>Proveedor Synopsis</v>
      </c>
      <c r="G281" t="str">
        <v>Despliegue de la Solución</v>
      </c>
      <c r="H281" t="str">
        <v>Despliegue de Solución de Synopsis en OnPremise y AWS</v>
      </c>
      <c r="I281" t="str">
        <v>Técnica</v>
      </c>
      <c r="J281" t="str">
        <v>Alta</v>
      </c>
      <c r="K281" s="183">
        <v>46142</v>
      </c>
      <c r="L281" s="183">
        <v>46142</v>
      </c>
      <c r="M281" s="188">
        <v>46171</v>
      </c>
      <c r="N281">
        <v>0</v>
      </c>
      <c r="O281" t="str">
        <v>Jaime H.</v>
      </c>
      <c r="P281" t="b">
        <v>1</v>
      </c>
      <c r="Q281" t="str">
        <v>2.Solicitada</v>
      </c>
      <c r="R281" t="str">
        <v>Soporte</v>
      </c>
      <c r="S281">
        <v>0</v>
      </c>
      <c r="T281" t="str">
        <v>S</v>
      </c>
    </row>
    <row r="282" spans="1:20">
      <c r="A282">
        <v>57</v>
      </c>
      <c r="B282" t="str">
        <v>Aplicaciones de soporte</v>
      </c>
      <c r="C282" t="str">
        <v>Mapa</v>
      </c>
      <c r="D282" t="str">
        <v>MF-JH-0007</v>
      </c>
      <c r="E282" t="str">
        <v>Soporte / Consulta en Línea (RENIEC) / Consulta de la Ficha RENIEC</v>
      </c>
      <c r="F282" t="str">
        <v>RENIEC</v>
      </c>
      <c r="G282" t="str">
        <v>Habilitación de ambiente Pruebas</v>
      </c>
      <c r="H282" t="str">
        <v>Habilitación de ambiente de Pruebas</v>
      </c>
      <c r="I282" t="str">
        <v>Técnica</v>
      </c>
      <c r="J282" t="str">
        <v>Alta</v>
      </c>
      <c r="K282" s="183">
        <v>46142</v>
      </c>
      <c r="L282" s="183">
        <v>0</v>
      </c>
      <c r="M282" s="188">
        <v>46171</v>
      </c>
      <c r="N282">
        <v>0</v>
      </c>
      <c r="O282" t="str">
        <v>RENIEC</v>
      </c>
      <c r="P282" t="b">
        <v>1</v>
      </c>
      <c r="Q282" t="str">
        <v>4.Resuelta</v>
      </c>
      <c r="R282" t="str">
        <v>Soporte</v>
      </c>
      <c r="S282">
        <v>0</v>
      </c>
      <c r="T282" t="str">
        <v>S</v>
      </c>
    </row>
    <row r="283" spans="1:20">
      <c r="A283">
        <v>58</v>
      </c>
      <c r="B283" t="str">
        <v>Aplicaciones de soporte</v>
      </c>
      <c r="C283" t="str">
        <v>Mapa</v>
      </c>
      <c r="D283" t="str">
        <v>MF-JH-0025</v>
      </c>
      <c r="E283" t="str">
        <v>Soporte / Consulta en Línea (RENIEC) / Reporte diario de todas las consultas de la Ficha RENIEC por usuario</v>
      </c>
      <c r="F283" t="str">
        <v>RENIEC</v>
      </c>
      <c r="G283" t="str">
        <v>Habilitación de ambiente Pruebas</v>
      </c>
      <c r="H283" t="str">
        <v>Habilitación de ambiente de Pruebas</v>
      </c>
      <c r="I283" t="str">
        <v>Técnica</v>
      </c>
      <c r="J283" t="str">
        <v>Alta</v>
      </c>
      <c r="K283" s="183">
        <v>46142</v>
      </c>
      <c r="L283" s="183">
        <v>0</v>
      </c>
      <c r="M283" s="188">
        <v>46171</v>
      </c>
      <c r="N283">
        <v>0</v>
      </c>
      <c r="O283" t="str">
        <v>RENIEC</v>
      </c>
      <c r="P283" t="b">
        <v>1</v>
      </c>
      <c r="Q283" t="str">
        <v>4.Resuelta</v>
      </c>
      <c r="R283" t="str">
        <v>Soporte</v>
      </c>
      <c r="S283">
        <v>0</v>
      </c>
      <c r="T283" t="str">
        <v>S</v>
      </c>
    </row>
    <row r="284" spans="1:20">
      <c r="A284">
        <v>59</v>
      </c>
      <c r="B284" t="str">
        <v>Aplicaciones de soporte</v>
      </c>
      <c r="C284" t="str">
        <v>Mapa</v>
      </c>
      <c r="D284" t="str">
        <v>MF-JH-0007</v>
      </c>
      <c r="E284" t="str">
        <v>Soporte / Consulta en Línea (RENIEC)</v>
      </c>
      <c r="F284" t="str">
        <v>Bantotal</v>
      </c>
      <c r="G284" t="str">
        <v>Habilitación Pantalla</v>
      </c>
      <c r="H284" t="str">
        <v>Habilitación de pantalla de consulta dentro de Bantotal Web</v>
      </c>
      <c r="I284" t="str">
        <v>Técnica</v>
      </c>
      <c r="J284" t="str">
        <v>Alta</v>
      </c>
      <c r="K284" s="183">
        <v>46142</v>
      </c>
      <c r="L284" s="183">
        <v>0</v>
      </c>
      <c r="M284" s="188">
        <v>0</v>
      </c>
      <c r="N284">
        <v>0</v>
      </c>
      <c r="O284" t="str">
        <v>Julio P.</v>
      </c>
      <c r="P284" t="b">
        <v>1</v>
      </c>
      <c r="Q284" t="str">
        <v>2.Solicitada</v>
      </c>
      <c r="R284" t="str">
        <v>Soporte</v>
      </c>
      <c r="S284" t="str">
        <v>Pendiente Rpta Bantotal</v>
      </c>
      <c r="T284" t="str">
        <v>S</v>
      </c>
    </row>
    <row r="285" spans="1:20">
      <c r="A285">
        <v>60</v>
      </c>
      <c r="B285" t="str">
        <v>Aplicaciones de soporte</v>
      </c>
      <c r="C285" t="str">
        <v>Mapa</v>
      </c>
      <c r="D285" t="str">
        <v>M-X</v>
      </c>
      <c r="E285" t="str">
        <v>Soporte / Modellica (Admisión Crediticia)</v>
      </c>
      <c r="F285" t="str">
        <v>Data</v>
      </c>
      <c r="G285" t="str">
        <v>Disponibilización de información</v>
      </c>
      <c r="H285" t="str">
        <v>Tablas de información de RCC, Core (mora) y Riesgos</v>
      </c>
      <c r="I285" t="str">
        <v>Técnica</v>
      </c>
      <c r="J285" t="str">
        <v>Alta</v>
      </c>
      <c r="K285" s="183">
        <v>46142</v>
      </c>
      <c r="L285" s="183">
        <v>0</v>
      </c>
      <c r="M285" s="188" t="str">
        <v>TBD</v>
      </c>
      <c r="N285">
        <v>0</v>
      </c>
      <c r="O285" t="str">
        <v>Jean A.</v>
      </c>
      <c r="P285" t="b">
        <v>1</v>
      </c>
      <c r="Q285" t="str">
        <v>2.Solicitada</v>
      </c>
      <c r="R285" t="str">
        <v>Soporte</v>
      </c>
      <c r="S285" t="str">
        <v>Pendiente acordar fecha</v>
      </c>
      <c r="T285" t="str">
        <v>S</v>
      </c>
    </row>
    <row r="286" spans="1:20">
      <c r="A286">
        <v>61</v>
      </c>
      <c r="B286" t="str">
        <v>Aplicaciones de soporte</v>
      </c>
      <c r="C286" t="str">
        <v>Mapa</v>
      </c>
      <c r="D286" t="str">
        <v>M-X</v>
      </c>
      <c r="E286" t="str">
        <v>Soporte / Modellica (Admisión Crediticia)</v>
      </c>
      <c r="F286" t="str">
        <v>Integración</v>
      </c>
      <c r="G286" t="str">
        <v>Integracion de MS</v>
      </c>
      <c r="H286" t="str">
        <v>Publicar APIs</v>
      </c>
      <c r="I286" t="str">
        <v>Técnica</v>
      </c>
      <c r="J286" t="str">
        <v>Alta</v>
      </c>
      <c r="K286" s="183">
        <v>46142</v>
      </c>
      <c r="L286" s="183">
        <v>0</v>
      </c>
      <c r="M286" s="188">
        <v>46142</v>
      </c>
      <c r="N286">
        <v>0</v>
      </c>
      <c r="O286" t="str">
        <v>Jorge P.</v>
      </c>
      <c r="P286" t="b">
        <v>1</v>
      </c>
      <c r="Q286" t="str">
        <v>3.En progreso</v>
      </c>
      <c r="R286" t="str">
        <v>Soporte</v>
      </c>
      <c r="S286">
        <v>0</v>
      </c>
      <c r="T286" t="str">
        <v>S</v>
      </c>
    </row>
    <row r="287" spans="1:20">
      <c r="A287">
        <v>62</v>
      </c>
      <c r="B287" t="str">
        <v>Aplicaciones de soporte</v>
      </c>
      <c r="C287" t="str">
        <v>Mapa</v>
      </c>
      <c r="D287" t="str">
        <v>MF-JH-0025</v>
      </c>
      <c r="E287" t="str">
        <v>Soporte / Consulta en Línea (RENIEC) / Reporte diario de todas las consultas de la Ficha RENIEC por usuario</v>
      </c>
      <c r="F287" t="str">
        <v>Infraestructura</v>
      </c>
      <c r="G287" t="str">
        <v>Habilitación de infraestructura</v>
      </c>
      <c r="H287" t="str">
        <v>Habilitación de infraestructura en OnPremise y AWS</v>
      </c>
      <c r="I287" t="str">
        <v>Técnica</v>
      </c>
      <c r="J287" t="str">
        <v>Alta</v>
      </c>
      <c r="K287" s="183">
        <v>46111</v>
      </c>
      <c r="L287" s="183">
        <v>46132</v>
      </c>
      <c r="M287" s="188">
        <v>46142</v>
      </c>
      <c r="N287">
        <v>0</v>
      </c>
      <c r="O287" t="str">
        <v>Hector G.</v>
      </c>
      <c r="P287" t="b">
        <v>1</v>
      </c>
      <c r="Q287" t="str">
        <v>3.En progreso</v>
      </c>
      <c r="R287" t="str">
        <v>Soporte</v>
      </c>
      <c r="S287">
        <v>0</v>
      </c>
      <c r="T287" t="str">
        <v>S</v>
      </c>
    </row>
    <row r="288" spans="1:20">
      <c r="A288">
        <v>63</v>
      </c>
      <c r="B288" t="str">
        <v>Aplicaciones de soporte</v>
      </c>
      <c r="C288" t="str">
        <v>Mapa</v>
      </c>
      <c r="D288" t="str">
        <v>M-X</v>
      </c>
      <c r="E288" t="str">
        <v>Soporte / KYC</v>
      </c>
      <c r="F288" t="str">
        <v>Integración</v>
      </c>
      <c r="G288" t="str">
        <v>Integracion de MS</v>
      </c>
      <c r="H288" t="str">
        <v>Integrar microservicios con canonicas</v>
      </c>
      <c r="I288" t="str">
        <v>Técnica</v>
      </c>
      <c r="J288" t="str">
        <v>Alta</v>
      </c>
      <c r="K288" s="183">
        <v>46118</v>
      </c>
      <c r="L288" s="183">
        <v>46129</v>
      </c>
      <c r="M288" s="188">
        <v>46118</v>
      </c>
      <c r="N288">
        <v>0</v>
      </c>
      <c r="O288" t="str">
        <v>Jorge P.</v>
      </c>
      <c r="P288" t="b">
        <v>1</v>
      </c>
      <c r="Q288" t="str">
        <v>3.En progreso</v>
      </c>
      <c r="R288" t="str">
        <v>Soporte</v>
      </c>
      <c r="S288">
        <v>0</v>
      </c>
      <c r="T288" t="str">
        <v>S</v>
      </c>
    </row>
    <row r="289" spans="1:20">
      <c r="A289">
        <v>64</v>
      </c>
      <c r="B289" t="str">
        <v>Aplicaciones de soporte</v>
      </c>
      <c r="C289" t="str">
        <v>Mapa</v>
      </c>
      <c r="D289" t="str">
        <v>M-X</v>
      </c>
      <c r="E289" t="str">
        <v>Soporte / Modellica (Admisión Crediticia)</v>
      </c>
      <c r="F289" t="str">
        <v>Integración</v>
      </c>
      <c r="G289" t="str">
        <v>Payload de respuesta del WatchList</v>
      </c>
      <c r="H289" t="str">
        <v>Agregar campos adicionales para la Mesa de Conseciones y Modellica (Admisión Crediticia) cuando se hace match con alguna lista</v>
      </c>
      <c r="I289" t="str">
        <v>Técnica</v>
      </c>
      <c r="J289" t="str">
        <v>Alta</v>
      </c>
      <c r="K289" s="183">
        <v>46142</v>
      </c>
      <c r="L289" s="183">
        <v>0</v>
      </c>
      <c r="M289" s="188">
        <v>0</v>
      </c>
      <c r="N289">
        <v>0</v>
      </c>
      <c r="O289" t="str">
        <v>Jorge P.</v>
      </c>
      <c r="P289" t="b">
        <v>1</v>
      </c>
      <c r="Q289" t="str">
        <v>3.En progreso</v>
      </c>
      <c r="R289" t="str">
        <v>Soporte</v>
      </c>
      <c r="S289" t="str">
        <v>Pendiente acordar fecha</v>
      </c>
      <c r="T289" t="str">
        <v>S</v>
      </c>
    </row>
    <row r="290" spans="1:20">
      <c r="A290">
        <v>65</v>
      </c>
      <c r="B290" t="str">
        <v>Aplicaciones de soporte</v>
      </c>
      <c r="C290" t="str">
        <v>Mapa</v>
      </c>
      <c r="D290" t="str">
        <v>MF-JH-0026</v>
      </c>
      <c r="E290" t="str">
        <v>Soporte / Modellica (Motor de Cobranzas)</v>
      </c>
      <c r="F290" t="str">
        <v>Data</v>
      </c>
      <c r="G290" t="str">
        <v>Disponibilización de archivos</v>
      </c>
      <c r="H290" t="str">
        <v>Archivos de información del Core, TC, Riesgos y CyberFinancial</v>
      </c>
      <c r="I290" t="str">
        <v>Técnica</v>
      </c>
      <c r="J290" t="str">
        <v>Alta</v>
      </c>
      <c r="K290" s="183">
        <v>46142</v>
      </c>
      <c r="L290" s="183">
        <v>0</v>
      </c>
      <c r="M290" s="188">
        <v>46293</v>
      </c>
      <c r="N290">
        <v>0</v>
      </c>
      <c r="O290" t="str">
        <v>Jean A.</v>
      </c>
      <c r="P290" t="b">
        <v>1</v>
      </c>
      <c r="Q290" t="str">
        <v>2.Solicitada</v>
      </c>
      <c r="R290" t="str">
        <v>Soporte</v>
      </c>
      <c r="S290">
        <v>0</v>
      </c>
      <c r="T290" t="str">
        <v>S</v>
      </c>
    </row>
    <row r="291" spans="1:20">
      <c r="A291">
        <v>66</v>
      </c>
      <c r="B291" t="str">
        <v>Aplicaciones de soporte</v>
      </c>
      <c r="C291" t="str">
        <v>Mapa</v>
      </c>
      <c r="D291" t="str">
        <v>MF-JH-0008</v>
      </c>
      <c r="E291" t="str">
        <v>Soporte / Adryan Web / Estructura y Organización / Módulo de Organización (Unidades, Centros de Costo, Ubicaciones)</v>
      </c>
      <c r="F291" t="str">
        <v>Comunication Manager</v>
      </c>
      <c r="G291" t="str">
        <v>Habilitación de interfaz de correos</v>
      </c>
      <c r="H291" t="str">
        <v>Habilitar el envio de correos internos y/o externos</v>
      </c>
      <c r="I291" t="str">
        <v>Técnica</v>
      </c>
      <c r="J291" t="str">
        <v>Alta</v>
      </c>
      <c r="K291" s="183">
        <v>46157</v>
      </c>
      <c r="L291" s="183">
        <v>0</v>
      </c>
      <c r="M291" s="188" t="str">
        <v>TBD</v>
      </c>
      <c r="N291">
        <v>0</v>
      </c>
      <c r="O291" t="str">
        <v>Willy V</v>
      </c>
      <c r="P291" t="b">
        <v>0</v>
      </c>
      <c r="Q291" t="str">
        <v>1.Identificada</v>
      </c>
      <c r="R291" t="str">
        <v>Soporte</v>
      </c>
      <c r="S291">
        <v>0</v>
      </c>
      <c r="T291" t="str">
        <v>N</v>
      </c>
    </row>
    <row r="292" spans="1:20">
      <c r="A292">
        <v>67</v>
      </c>
      <c r="B292" t="str">
        <v>Aplicaciones de soporte</v>
      </c>
      <c r="C292" t="str">
        <v>Mapa</v>
      </c>
      <c r="D292" t="str">
        <v>MF-JH-0009</v>
      </c>
      <c r="E292" t="str">
        <v>Soporte / Adryan Web / Estructura y Organización / Módulo de Gestión de Puestos</v>
      </c>
      <c r="F292" t="str">
        <v>Comunication Manager</v>
      </c>
      <c r="G292" t="str">
        <v>Habilitación de interfaz de correos</v>
      </c>
      <c r="H292" t="str">
        <v>Habilitar el envio de correos internos y/o externos</v>
      </c>
      <c r="I292" t="str">
        <v>Técnica</v>
      </c>
      <c r="J292" t="str">
        <v>Alta</v>
      </c>
      <c r="K292" s="183">
        <v>46157</v>
      </c>
      <c r="L292" s="183">
        <v>0</v>
      </c>
      <c r="M292" s="188" t="str">
        <v>TBD</v>
      </c>
      <c r="N292">
        <v>0</v>
      </c>
      <c r="O292" t="str">
        <v>Willy V</v>
      </c>
      <c r="P292" t="b">
        <v>0</v>
      </c>
      <c r="Q292" t="str">
        <v>1.Identificada</v>
      </c>
      <c r="R292" t="str">
        <v>Soporte</v>
      </c>
      <c r="S292">
        <v>0</v>
      </c>
      <c r="T292" t="str">
        <v>N</v>
      </c>
    </row>
    <row r="293" spans="1:20">
      <c r="A293">
        <v>68</v>
      </c>
      <c r="B293" t="str">
        <v>Aplicaciones de soporte</v>
      </c>
      <c r="C293" t="str">
        <v>Mapa</v>
      </c>
      <c r="D293" t="str">
        <v>MF-JH-0010</v>
      </c>
      <c r="E293" t="str">
        <v>Soporte / Adryan Web / Gestión de Personal / Módulo de Administración de Personal (Datos, Contratos - 20 modelos)</v>
      </c>
      <c r="F293" t="str">
        <v>Comunication Manager</v>
      </c>
      <c r="G293" t="str">
        <v>Habilitación de interfaz de correos</v>
      </c>
      <c r="H293" t="str">
        <v>Habilitar el envio de correos internos y/o externos</v>
      </c>
      <c r="I293" t="str">
        <v>Técnica</v>
      </c>
      <c r="J293" t="str">
        <v>Alta</v>
      </c>
      <c r="K293" s="183">
        <v>46157</v>
      </c>
      <c r="L293" s="183">
        <v>0</v>
      </c>
      <c r="M293" s="188" t="str">
        <v>TBD</v>
      </c>
      <c r="N293">
        <v>0</v>
      </c>
      <c r="O293" t="str">
        <v>Willy V</v>
      </c>
      <c r="P293" t="b">
        <v>0</v>
      </c>
      <c r="Q293" t="str">
        <v>1.Identificada</v>
      </c>
      <c r="R293" t="str">
        <v>Soporte</v>
      </c>
      <c r="S293">
        <v>0</v>
      </c>
      <c r="T293" t="str">
        <v>N</v>
      </c>
    </row>
    <row r="294" spans="1:20">
      <c r="A294">
        <v>69</v>
      </c>
      <c r="B294" t="str">
        <v>Aplicaciones de soporte</v>
      </c>
      <c r="C294" t="str">
        <v>Mapa</v>
      </c>
      <c r="D294" t="str">
        <v>MF-JH-0011</v>
      </c>
      <c r="E294" t="str">
        <v>Soporte / Adryan Web / Gestión de Personal / Módulo de Movimiento de Personal (Cambios, Cesaciones)</v>
      </c>
      <c r="F294" t="str">
        <v>Comunication Manager</v>
      </c>
      <c r="G294" t="str">
        <v>Habilitación de interfaz de correos</v>
      </c>
      <c r="H294" t="str">
        <v>Habilitar el envio de correos internos y/o externos</v>
      </c>
      <c r="I294" t="str">
        <v>Técnica</v>
      </c>
      <c r="J294" t="str">
        <v>Alta</v>
      </c>
      <c r="K294" s="183">
        <v>46157</v>
      </c>
      <c r="L294" s="183">
        <v>0</v>
      </c>
      <c r="M294" s="188" t="str">
        <v>TBD</v>
      </c>
      <c r="N294">
        <v>0</v>
      </c>
      <c r="O294" t="str">
        <v>Willy V</v>
      </c>
      <c r="P294" t="b">
        <v>0</v>
      </c>
      <c r="Q294" t="str">
        <v>1.Identificada</v>
      </c>
      <c r="R294" t="str">
        <v>Soporte</v>
      </c>
      <c r="S294">
        <v>0</v>
      </c>
      <c r="T294" t="str">
        <v>N</v>
      </c>
    </row>
    <row r="295" spans="1:20">
      <c r="A295">
        <v>70</v>
      </c>
      <c r="B295" t="str">
        <v>Aplicaciones de soporte</v>
      </c>
      <c r="C295" t="str">
        <v>Mapa</v>
      </c>
      <c r="D295" t="str">
        <v>MF-JH-0012</v>
      </c>
      <c r="E295" t="str">
        <v>Soporte / Adryan Web / Gestión de Personal / Módulo de Actualización de Datos</v>
      </c>
      <c r="F295" t="str">
        <v>Comunication Manager</v>
      </c>
      <c r="G295" t="str">
        <v>Habilitación de interfaz de correos</v>
      </c>
      <c r="H295" t="str">
        <v>Habilitar el envio de correos internos y/o externos</v>
      </c>
      <c r="I295" t="str">
        <v>Técnica</v>
      </c>
      <c r="J295" t="str">
        <v>Alta</v>
      </c>
      <c r="K295" s="183">
        <v>46157</v>
      </c>
      <c r="L295" s="183">
        <v>0</v>
      </c>
      <c r="M295" s="188" t="str">
        <v>TBD</v>
      </c>
      <c r="N295">
        <v>0</v>
      </c>
      <c r="O295" t="str">
        <v>Willy V</v>
      </c>
      <c r="P295" t="b">
        <v>0</v>
      </c>
      <c r="Q295" t="str">
        <v>1.Identificada</v>
      </c>
      <c r="R295" t="str">
        <v>Soporte</v>
      </c>
      <c r="S295">
        <v>0</v>
      </c>
      <c r="T295" t="str">
        <v>N</v>
      </c>
    </row>
    <row r="296" spans="1:20">
      <c r="A296">
        <v>71</v>
      </c>
      <c r="B296" t="str">
        <v>Aplicaciones de soporte</v>
      </c>
      <c r="C296" t="str">
        <v>Mapa</v>
      </c>
      <c r="D296" t="str">
        <v>MF-JH-0013</v>
      </c>
      <c r="E296" t="str">
        <v>Soporte / Adryan Web / Control de Asistencia / Módulo de Asistencia (Turnos, Permisos, Licencias)</v>
      </c>
      <c r="F296" t="str">
        <v>Comunication Manager</v>
      </c>
      <c r="G296" t="str">
        <v>Habilitación de interfaz de correos</v>
      </c>
      <c r="H296" t="str">
        <v>Habilitar el envio de correos internos y/o externos</v>
      </c>
      <c r="I296" t="str">
        <v>Técnica</v>
      </c>
      <c r="J296" t="str">
        <v>Alta</v>
      </c>
      <c r="K296" s="183">
        <v>46157</v>
      </c>
      <c r="L296" s="183">
        <v>0</v>
      </c>
      <c r="M296" s="188" t="str">
        <v>TBD</v>
      </c>
      <c r="N296">
        <v>0</v>
      </c>
      <c r="O296" t="str">
        <v>Willy V</v>
      </c>
      <c r="P296" t="b">
        <v>0</v>
      </c>
      <c r="Q296" t="str">
        <v>1.Identificada</v>
      </c>
      <c r="R296" t="str">
        <v>Soporte</v>
      </c>
      <c r="S296">
        <v>0</v>
      </c>
      <c r="T296" t="str">
        <v>N</v>
      </c>
    </row>
    <row r="297" spans="1:20">
      <c r="A297">
        <v>72</v>
      </c>
      <c r="B297" t="str">
        <v>Aplicaciones de soporte</v>
      </c>
      <c r="C297" t="str">
        <v>Mapa</v>
      </c>
      <c r="D297" t="str">
        <v>MF-JH-0014</v>
      </c>
      <c r="E297" t="str">
        <v>Soporte / Adryan Web / Control de Asistencia / Reportes de ausencias, tardanzas, horas extras</v>
      </c>
      <c r="F297" t="str">
        <v>Comunication Manager</v>
      </c>
      <c r="G297" t="str">
        <v>Habilitación de interfaz de correos</v>
      </c>
      <c r="H297" t="str">
        <v>Habilitar el envio de correos internos y/o externos</v>
      </c>
      <c r="I297" t="str">
        <v>Técnica</v>
      </c>
      <c r="J297" t="str">
        <v>Alta</v>
      </c>
      <c r="K297" s="183">
        <v>46157</v>
      </c>
      <c r="L297" s="183">
        <v>0</v>
      </c>
      <c r="M297" s="188" t="str">
        <v>TBD</v>
      </c>
      <c r="N297">
        <v>0</v>
      </c>
      <c r="O297" t="str">
        <v>Willy V</v>
      </c>
      <c r="P297" t="b">
        <v>0</v>
      </c>
      <c r="Q297" t="str">
        <v>1.Identificada</v>
      </c>
      <c r="R297" t="str">
        <v>Soporte</v>
      </c>
      <c r="S297">
        <v>0</v>
      </c>
      <c r="T297" t="str">
        <v>N</v>
      </c>
    </row>
    <row r="298" spans="1:20">
      <c r="A298">
        <v>73</v>
      </c>
      <c r="B298" t="str">
        <v>Aplicaciones de soporte</v>
      </c>
      <c r="C298" t="str">
        <v>Mapa</v>
      </c>
      <c r="D298" t="str">
        <v>MF-JH-0015</v>
      </c>
      <c r="E298" t="str">
        <v>Soporte / Adryan Web / Gestión de Vacaciones / Módulo de Solicitud de Vacaciones (con notificaciones)</v>
      </c>
      <c r="F298" t="str">
        <v>Comunication Manager</v>
      </c>
      <c r="G298" t="str">
        <v>Habilitación de interfaz de correos</v>
      </c>
      <c r="H298" t="str">
        <v>Habilitar el envio de correos internos y/o externos</v>
      </c>
      <c r="I298" t="str">
        <v>Técnica</v>
      </c>
      <c r="J298" t="str">
        <v>Alta</v>
      </c>
      <c r="K298" s="183">
        <v>46157</v>
      </c>
      <c r="L298" s="183">
        <v>0</v>
      </c>
      <c r="M298" s="188" t="str">
        <v>TBD</v>
      </c>
      <c r="N298">
        <v>0</v>
      </c>
      <c r="O298" t="str">
        <v>Willy V</v>
      </c>
      <c r="P298" t="b">
        <v>0</v>
      </c>
      <c r="Q298" t="str">
        <v>1.Identificada</v>
      </c>
      <c r="R298" t="str">
        <v>Soporte</v>
      </c>
      <c r="S298">
        <v>0</v>
      </c>
      <c r="T298" t="str">
        <v>N</v>
      </c>
    </row>
    <row r="299" spans="1:20">
      <c r="A299">
        <v>74</v>
      </c>
      <c r="B299" t="str">
        <v>Aplicaciones de soporte</v>
      </c>
      <c r="C299" t="str">
        <v>Mapa</v>
      </c>
      <c r="D299" t="str">
        <v>MF-JH-0016</v>
      </c>
      <c r="E299" t="str">
        <v>Soporte / Adryan Web / Gestión de Vacaciones / Reportes de vacaciones gozadas y pendientes</v>
      </c>
      <c r="F299" t="str">
        <v>Comunication Manager</v>
      </c>
      <c r="G299" t="str">
        <v>Habilitación de interfaz de correos</v>
      </c>
      <c r="H299" t="str">
        <v>Habilitar el envio de correos internos y/o externos</v>
      </c>
      <c r="I299" t="str">
        <v>Técnica</v>
      </c>
      <c r="J299" t="str">
        <v>Alta</v>
      </c>
      <c r="K299" s="183">
        <v>46157</v>
      </c>
      <c r="L299" s="183">
        <v>0</v>
      </c>
      <c r="M299" s="188" t="str">
        <v>TBD</v>
      </c>
      <c r="N299">
        <v>0</v>
      </c>
      <c r="O299" t="str">
        <v>Willy V</v>
      </c>
      <c r="P299" t="b">
        <v>0</v>
      </c>
      <c r="Q299" t="str">
        <v>1.Identificada</v>
      </c>
      <c r="R299" t="str">
        <v>Soporte</v>
      </c>
      <c r="S299">
        <v>0</v>
      </c>
      <c r="T299" t="str">
        <v>N</v>
      </c>
    </row>
    <row r="300" spans="1:20">
      <c r="A300">
        <v>75</v>
      </c>
      <c r="B300" t="str">
        <v>Aplicaciones de soporte</v>
      </c>
      <c r="C300" t="str">
        <v>Mapa</v>
      </c>
      <c r="D300" t="str">
        <v>MF-JH-0017</v>
      </c>
      <c r="E300" t="str">
        <v>Soporte / Adryan Web / Compensación y Nómina / Módulo de Administración de Planillas (Conceptos, Cálculos)</v>
      </c>
      <c r="F300" t="str">
        <v>Comunication Manager</v>
      </c>
      <c r="G300" t="str">
        <v>Habilitación de interfaz de correos</v>
      </c>
      <c r="H300" t="str">
        <v>Habilitar el envio de correos internos y/o externos</v>
      </c>
      <c r="I300" t="str">
        <v>Técnica</v>
      </c>
      <c r="J300" t="str">
        <v>Alta</v>
      </c>
      <c r="K300" s="183">
        <v>46157</v>
      </c>
      <c r="L300" s="183">
        <v>0</v>
      </c>
      <c r="M300" s="188" t="str">
        <v>TBD</v>
      </c>
      <c r="N300">
        <v>0</v>
      </c>
      <c r="O300" t="str">
        <v>Willy V</v>
      </c>
      <c r="P300" t="b">
        <v>0</v>
      </c>
      <c r="Q300" t="str">
        <v>1.Identificada</v>
      </c>
      <c r="R300" t="str">
        <v>Soporte</v>
      </c>
      <c r="S300">
        <v>0</v>
      </c>
      <c r="T300" t="str">
        <v>N</v>
      </c>
    </row>
    <row r="301" spans="1:20">
      <c r="A301">
        <v>76</v>
      </c>
      <c r="B301" t="str">
        <v>Aplicaciones de soporte</v>
      </c>
      <c r="C301" t="str">
        <v>Mapa</v>
      </c>
      <c r="D301" t="str">
        <v>MF-JH-0018</v>
      </c>
      <c r="E301" t="str">
        <v>Soporte / Adryan Web / Compensación y Nómina / Cálculo de CTS, Utilidades, Vacaciones</v>
      </c>
      <c r="F301" t="str">
        <v>Comunication Manager</v>
      </c>
      <c r="G301" t="str">
        <v>Habilitación de interfaz de correos</v>
      </c>
      <c r="H301" t="str">
        <v>Habilitar el envio de correos internos y/o externos</v>
      </c>
      <c r="I301" t="str">
        <v>Técnica</v>
      </c>
      <c r="J301" t="str">
        <v>Alta</v>
      </c>
      <c r="K301" s="183">
        <v>46157</v>
      </c>
      <c r="L301" s="183">
        <v>0</v>
      </c>
      <c r="M301" s="188" t="str">
        <v>TBD</v>
      </c>
      <c r="N301">
        <v>0</v>
      </c>
      <c r="O301" t="str">
        <v>Willy V</v>
      </c>
      <c r="P301" t="b">
        <v>0</v>
      </c>
      <c r="Q301" t="str">
        <v>1.Identificada</v>
      </c>
      <c r="R301" t="str">
        <v>Soporte</v>
      </c>
      <c r="S301">
        <v>0</v>
      </c>
      <c r="T301" t="str">
        <v>N</v>
      </c>
    </row>
    <row r="302" spans="1:20">
      <c r="A302">
        <v>77</v>
      </c>
      <c r="B302" t="str">
        <v>Aplicaciones de soporte</v>
      </c>
      <c r="C302" t="str">
        <v>Mapa</v>
      </c>
      <c r="D302" t="str">
        <v>MF-JH-0019</v>
      </c>
      <c r="E302" t="str">
        <v>Soporte / Adryan Web / Compensación y Nómina / Liquidación masiva de cesados</v>
      </c>
      <c r="F302" t="str">
        <v>Comunication Manager</v>
      </c>
      <c r="G302" t="str">
        <v>Habilitación de interfaz de correos</v>
      </c>
      <c r="H302" t="str">
        <v>Habilitar el envio de correos internos y/o externos</v>
      </c>
      <c r="I302" t="str">
        <v>Técnica</v>
      </c>
      <c r="J302" t="str">
        <v>Alta</v>
      </c>
      <c r="K302" s="183">
        <v>46157</v>
      </c>
      <c r="L302" s="183">
        <v>0</v>
      </c>
      <c r="M302" s="188" t="str">
        <v>TBD</v>
      </c>
      <c r="N302">
        <v>0</v>
      </c>
      <c r="O302" t="str">
        <v>Willy V</v>
      </c>
      <c r="P302" t="b">
        <v>0</v>
      </c>
      <c r="Q302" t="str">
        <v>1.Identificada</v>
      </c>
      <c r="R302" t="str">
        <v>Soporte</v>
      </c>
      <c r="S302">
        <v>0</v>
      </c>
      <c r="T302" t="str">
        <v>N</v>
      </c>
    </row>
    <row r="303" spans="1:20">
      <c r="A303">
        <v>78</v>
      </c>
      <c r="B303" t="str">
        <v>Aplicaciones de soporte</v>
      </c>
      <c r="C303" t="str">
        <v>Mapa</v>
      </c>
      <c r="D303" t="str">
        <v>MF-JH-0021</v>
      </c>
      <c r="E303" t="str">
        <v>Soporte / Adryan Web / Compensación y Nómina / Envío de asientos a Bantotal (PLAME, T-Registro, INEI, SBS)</v>
      </c>
      <c r="F303" t="str">
        <v>Comunication Manager</v>
      </c>
      <c r="G303" t="str">
        <v>Habilitación de interfaz de correos</v>
      </c>
      <c r="H303" t="str">
        <v>Habilitar el envio de correos internos y/o externos</v>
      </c>
      <c r="I303" t="str">
        <v>Técnica</v>
      </c>
      <c r="J303" t="str">
        <v>Alta</v>
      </c>
      <c r="K303" s="183">
        <v>46157</v>
      </c>
      <c r="L303" s="183">
        <v>0</v>
      </c>
      <c r="M303" s="188" t="str">
        <v>TBD</v>
      </c>
      <c r="N303">
        <v>0</v>
      </c>
      <c r="O303" t="str">
        <v>Willy V</v>
      </c>
      <c r="P303" t="b">
        <v>0</v>
      </c>
      <c r="Q303" t="str">
        <v>1.Identificada</v>
      </c>
      <c r="R303" t="str">
        <v>Soporte</v>
      </c>
      <c r="S303">
        <v>0</v>
      </c>
      <c r="T303" t="str">
        <v>N</v>
      </c>
    </row>
    <row r="304" spans="1:20">
      <c r="A304">
        <v>79</v>
      </c>
      <c r="B304" t="str">
        <v>Aplicaciones de soporte</v>
      </c>
      <c r="C304" t="str">
        <v>Mapa</v>
      </c>
      <c r="D304" t="str">
        <v>MF-JH-0022</v>
      </c>
      <c r="E304" t="str">
        <v>Soporte / Adryan Web / Gestión de Contratos / Módulo de Renovación de Contratos (20 modelos personalizados)</v>
      </c>
      <c r="F304" t="str">
        <v>Comunication Manager</v>
      </c>
      <c r="G304" t="str">
        <v>Habilitación de interfaz de correos</v>
      </c>
      <c r="H304" t="str">
        <v>Habilitar el envio de correos internos y/o externos</v>
      </c>
      <c r="I304" t="str">
        <v>Técnica</v>
      </c>
      <c r="J304" t="str">
        <v>Alta</v>
      </c>
      <c r="K304" s="183">
        <v>46157</v>
      </c>
      <c r="L304" s="183">
        <v>0</v>
      </c>
      <c r="M304" s="188" t="str">
        <v>TBD</v>
      </c>
      <c r="N304">
        <v>0</v>
      </c>
      <c r="O304" t="str">
        <v>Willy V</v>
      </c>
      <c r="P304" t="b">
        <v>0</v>
      </c>
      <c r="Q304" t="str">
        <v>1.Identificada</v>
      </c>
      <c r="R304" t="str">
        <v>Soporte</v>
      </c>
      <c r="S304">
        <v>0</v>
      </c>
      <c r="T304" t="str">
        <v>N</v>
      </c>
    </row>
    <row r="305" spans="1:20">
      <c r="A305">
        <v>80</v>
      </c>
      <c r="B305" t="str">
        <v>Aplicaciones de soporte</v>
      </c>
      <c r="C305" t="str">
        <v>Mapa</v>
      </c>
      <c r="D305" t="str">
        <v>MF-JH-0023</v>
      </c>
      <c r="E305" t="str">
        <v>Soporte / Adryan Web / Documentos y Autoservicio / Módulo de Autoservicio (Boletas, CTS, Utilidades, Quinta, Certificados)</v>
      </c>
      <c r="F305" t="str">
        <v>Comunication Manager</v>
      </c>
      <c r="G305" t="str">
        <v>Habilitación de interfaz de correos</v>
      </c>
      <c r="H305" t="str">
        <v>Habilitar el envio de correos internos y/o externos</v>
      </c>
      <c r="I305" t="str">
        <v>Técnica</v>
      </c>
      <c r="J305" t="str">
        <v>Alta</v>
      </c>
      <c r="K305" s="183">
        <v>46157</v>
      </c>
      <c r="L305" s="183">
        <v>0</v>
      </c>
      <c r="M305" s="188" t="str">
        <v>TBD</v>
      </c>
      <c r="N305">
        <v>0</v>
      </c>
      <c r="O305" t="str">
        <v>Willy V</v>
      </c>
      <c r="P305" t="b">
        <v>0</v>
      </c>
      <c r="Q305" t="str">
        <v>1.Identificada</v>
      </c>
      <c r="R305" t="str">
        <v>Soporte</v>
      </c>
      <c r="S305">
        <v>0</v>
      </c>
      <c r="T305" t="str">
        <v>N</v>
      </c>
    </row>
    <row r="306" spans="1:20">
      <c r="A306">
        <v>81</v>
      </c>
      <c r="B306" t="str">
        <v>Aplicaciones de soporte</v>
      </c>
      <c r="C306" t="str">
        <v>Mapa</v>
      </c>
      <c r="D306" t="str">
        <v>MF-JH-0024</v>
      </c>
      <c r="E306" t="str">
        <v>Soporte / Adryan Web / Documentos y Autoservicio / Módulo Generador de Reportes personalizados</v>
      </c>
      <c r="F306" t="str">
        <v>Comunication Manager</v>
      </c>
      <c r="G306" t="str">
        <v>Habilitación de interfaz de correos</v>
      </c>
      <c r="H306" t="str">
        <v>Habilitar el envio de correos internos y/o externos</v>
      </c>
      <c r="I306" t="str">
        <v>Técnica</v>
      </c>
      <c r="J306" t="str">
        <v>Alta</v>
      </c>
      <c r="K306" s="183">
        <v>46157</v>
      </c>
      <c r="L306" s="183">
        <v>0</v>
      </c>
      <c r="M306" s="188" t="str">
        <v>TBD</v>
      </c>
      <c r="N306">
        <v>0</v>
      </c>
      <c r="O306" t="str">
        <v>Willy V</v>
      </c>
      <c r="P306" t="b">
        <v>0</v>
      </c>
      <c r="Q306" t="str">
        <v>1.Identificada</v>
      </c>
      <c r="R306" t="str">
        <v>Soporte</v>
      </c>
      <c r="S306">
        <v>0</v>
      </c>
      <c r="T306" t="str">
        <v>N</v>
      </c>
    </row>
    <row r="307" spans="1:20">
      <c r="A307">
        <v>82</v>
      </c>
      <c r="B307" t="str">
        <v>Aplicaciones de soporte</v>
      </c>
      <c r="C307" t="str">
        <v>Mapa</v>
      </c>
      <c r="D307" t="str">
        <v>MF-JH-0001</v>
      </c>
      <c r="E307" t="str">
        <v>Soporte / Adryan Web</v>
      </c>
      <c r="F307" t="str">
        <v>Core</v>
      </c>
      <c r="G307" t="str">
        <v>Definición de interfaces contables</v>
      </c>
      <c r="H307">
        <v>0</v>
      </c>
      <c r="I307" t="str">
        <v>Técnica</v>
      </c>
      <c r="J307" t="str">
        <v>Alta</v>
      </c>
      <c r="K307" s="183">
        <v>46157</v>
      </c>
      <c r="L307" s="183">
        <v>0</v>
      </c>
      <c r="M307" s="188">
        <v>0</v>
      </c>
      <c r="N307">
        <v>0</v>
      </c>
      <c r="O307" t="str">
        <v>Julio P.</v>
      </c>
      <c r="P307" t="b">
        <v>0</v>
      </c>
      <c r="Q307" t="str">
        <v>2.Solicitada</v>
      </c>
      <c r="R307" t="str">
        <v>Soporte</v>
      </c>
      <c r="S307" t="str">
        <v>Depende de sesiones con Prov.y Edwin P.</v>
      </c>
      <c r="T307" t="str">
        <v>N</v>
      </c>
    </row>
    <row r="308" spans="1:20">
      <c r="A308">
        <v>83</v>
      </c>
      <c r="B308" t="str">
        <v>Aplicaciones de soporte</v>
      </c>
      <c r="C308" t="str">
        <v>Mapa</v>
      </c>
      <c r="D308" t="str">
        <v>MF-JH-0027</v>
      </c>
      <c r="E308" t="str">
        <v>Soporte / Monitor</v>
      </c>
      <c r="F308" t="str">
        <v xml:space="preserve">Core </v>
      </c>
      <c r="G308" t="str">
        <v>Proceso Batch</v>
      </c>
      <c r="H308" t="str">
        <v>Generacion de interfaces ( cliente - producto - transsacciones)</v>
      </c>
      <c r="I308" t="str">
        <v>Técnica</v>
      </c>
      <c r="J308" t="str">
        <v>Baja</v>
      </c>
      <c r="K308" s="183">
        <v>46127</v>
      </c>
      <c r="L308" s="183">
        <v>0</v>
      </c>
      <c r="M308" s="188" t="str">
        <v>TBD</v>
      </c>
      <c r="N308">
        <v>0</v>
      </c>
      <c r="O308" t="str">
        <v>Julio P.</v>
      </c>
      <c r="P308" t="b">
        <v>1</v>
      </c>
      <c r="Q308" t="str">
        <v>2.Solicitada</v>
      </c>
      <c r="R308" t="str">
        <v>Soporte</v>
      </c>
      <c r="S308">
        <v>0</v>
      </c>
      <c r="T308" t="str">
        <v>S</v>
      </c>
    </row>
    <row r="309" spans="1:20">
      <c r="A309">
        <v>1</v>
      </c>
      <c r="B309" t="str">
        <v>Data</v>
      </c>
      <c r="C309">
        <v>0</v>
      </c>
      <c r="D309">
        <v>0</v>
      </c>
      <c r="E309" t="str">
        <v>Data-Finanzas</v>
      </c>
      <c r="F309" t="str">
        <v>Cards y Payments</v>
      </c>
      <c r="G309" t="str">
        <v>Catálogo de Dominio</v>
      </c>
      <c r="H309" t="str">
        <v>Maestro de equivalencias funcionales de los archivos administrativos proveídos por Izipay</v>
      </c>
      <c r="I309" t="str">
        <v>Funcional</v>
      </c>
      <c r="J309" t="str">
        <v>Alta</v>
      </c>
      <c r="K309" s="183">
        <v>46096</v>
      </c>
      <c r="L309" s="183">
        <v>0</v>
      </c>
      <c r="M309" s="188">
        <v>46112</v>
      </c>
      <c r="N309" t="str">
        <v>Fredy C.</v>
      </c>
      <c r="O309" t="str">
        <v>Fredy C.</v>
      </c>
      <c r="P309" t="b">
        <v>1</v>
      </c>
      <c r="Q309" t="str">
        <v>3.En progreso</v>
      </c>
      <c r="R309" t="str">
        <v>Data-Finanzas</v>
      </c>
      <c r="S309">
        <v>0</v>
      </c>
      <c r="T309" t="str">
        <v>S</v>
      </c>
    </row>
    <row r="310" spans="1:20">
      <c r="A310">
        <v>2</v>
      </c>
      <c r="B310" t="str">
        <v>Data</v>
      </c>
      <c r="C310">
        <v>0</v>
      </c>
      <c r="D310">
        <v>0</v>
      </c>
      <c r="E310" t="str">
        <v>Data-Finanzas</v>
      </c>
      <c r="F310" t="str">
        <v>Cards y Payments</v>
      </c>
      <c r="G310" t="str">
        <v>Disponibilización de Data en Datalake</v>
      </c>
      <c r="H310" t="str">
        <v>Se ejecuta proceso que envia todos los archivos adminstrativos desde SFTP de taerjetas hacia el Datalake (S3)</v>
      </c>
      <c r="I310" t="str">
        <v>Técnica</v>
      </c>
      <c r="J310" t="str">
        <v>Medio</v>
      </c>
      <c r="K310" s="183">
        <v>46099</v>
      </c>
      <c r="L310" s="183">
        <v>0</v>
      </c>
      <c r="M310" s="188">
        <v>46112</v>
      </c>
      <c r="N310" t="str">
        <v>Julio P.</v>
      </c>
      <c r="O310" t="str">
        <v>Fredy C.</v>
      </c>
      <c r="P310" t="b">
        <v>1</v>
      </c>
      <c r="Q310" t="str">
        <v>3.En progreso</v>
      </c>
      <c r="R310" t="str">
        <v>Data-Finanzas</v>
      </c>
      <c r="S310">
        <v>0</v>
      </c>
      <c r="T310" t="str">
        <v>S</v>
      </c>
    </row>
    <row r="311" spans="1:20">
      <c r="A311">
        <v>3</v>
      </c>
      <c r="B311" t="str">
        <v>Data</v>
      </c>
      <c r="C311">
        <v>0</v>
      </c>
      <c r="D311">
        <v>0</v>
      </c>
      <c r="E311" t="str">
        <v>Data-Finanzas</v>
      </c>
      <c r="F311" t="str">
        <v>Cards y Payments</v>
      </c>
      <c r="G311" t="str">
        <v>Consultas técnicas MCP</v>
      </c>
      <c r="H311" t="str">
        <v>Se consultará el mapeo entre los archivos administrativos y Tablas MCP</v>
      </c>
      <c r="I311" t="str">
        <v>Técnica</v>
      </c>
      <c r="J311" t="str">
        <v>Medio</v>
      </c>
      <c r="K311" s="183">
        <v>46099</v>
      </c>
      <c r="L311" s="183">
        <v>0</v>
      </c>
      <c r="M311" s="188">
        <v>46112</v>
      </c>
      <c r="N311" t="str">
        <v>Sonia B.</v>
      </c>
      <c r="O311" t="str">
        <v>Fredy C.</v>
      </c>
      <c r="P311" t="b">
        <v>1</v>
      </c>
      <c r="Q311" t="str">
        <v>3.En progreso</v>
      </c>
      <c r="R311" t="str">
        <v>Data-Finanzas</v>
      </c>
      <c r="S311">
        <v>0</v>
      </c>
      <c r="T311" t="str">
        <v>S</v>
      </c>
    </row>
    <row r="312" spans="1:20">
      <c r="A312">
        <v>4</v>
      </c>
      <c r="B312" t="str">
        <v>Data</v>
      </c>
      <c r="C312" t="str">
        <v> </v>
      </c>
      <c r="D312">
        <v>0</v>
      </c>
      <c r="E312" t="str">
        <v>Data-Finanzas</v>
      </c>
      <c r="F312" t="str">
        <v>Core</v>
      </c>
      <c r="G312" t="str">
        <v>Datos de Sistema de Originación</v>
      </c>
      <c r="H312" t="str">
        <v>Brindar trama layout de datos y maestro de equivalencias funcionales</v>
      </c>
      <c r="I312" t="str">
        <v>Técnica</v>
      </c>
      <c r="J312" t="str">
        <v>Baja</v>
      </c>
      <c r="K312" s="183">
        <v>46112</v>
      </c>
      <c r="L312" s="183">
        <v>0</v>
      </c>
      <c r="M312" s="188">
        <v>0</v>
      </c>
      <c r="N312" t="str">
        <v>Sonia B.</v>
      </c>
      <c r="O312" t="str">
        <v>Julio P.</v>
      </c>
      <c r="P312" t="b">
        <v>1</v>
      </c>
      <c r="Q312" t="str">
        <v>1.Identificada</v>
      </c>
      <c r="R312" t="str">
        <v>Data-Finanzas</v>
      </c>
      <c r="S312">
        <v>0</v>
      </c>
      <c r="T312" t="str">
        <v>S</v>
      </c>
    </row>
    <row r="313" spans="1:20">
      <c r="A313">
        <v>5</v>
      </c>
      <c r="B313" t="str">
        <v>Data</v>
      </c>
      <c r="C313" t="str">
        <v> </v>
      </c>
      <c r="D313">
        <v>0</v>
      </c>
      <c r="E313" t="str">
        <v>Data-Finanzas</v>
      </c>
      <c r="F313" t="str">
        <v>Core</v>
      </c>
      <c r="G313" t="str">
        <v>Datos de log de subcuentas</v>
      </c>
      <c r="H313" t="str">
        <v>Brindar ejemplo de registro de tabla log de apertura de subcuentas de ahorro</v>
      </c>
      <c r="I313" t="str">
        <v>Técnica</v>
      </c>
      <c r="J313" t="str">
        <v>Alta</v>
      </c>
      <c r="K313" s="183">
        <v>46097</v>
      </c>
      <c r="L313" s="183">
        <v>0</v>
      </c>
      <c r="M313" s="188">
        <v>46097</v>
      </c>
      <c r="N313" t="str">
        <v>Fredy C.</v>
      </c>
      <c r="O313" t="str">
        <v>Julio P.</v>
      </c>
      <c r="P313" t="b">
        <v>1</v>
      </c>
      <c r="Q313" t="str">
        <v>4.Resuelta</v>
      </c>
      <c r="R313" t="str">
        <v>Data-Finanzas</v>
      </c>
      <c r="S313">
        <v>0</v>
      </c>
      <c r="T313" t="str">
        <v>S</v>
      </c>
    </row>
    <row r="314" spans="1:20">
      <c r="A314">
        <v>6</v>
      </c>
      <c r="B314" t="str">
        <v>Data</v>
      </c>
      <c r="C314" t="str">
        <v> </v>
      </c>
      <c r="D314">
        <v>0</v>
      </c>
      <c r="E314" t="str">
        <v>Data-Finanzas</v>
      </c>
      <c r="F314" t="str">
        <v>Core</v>
      </c>
      <c r="G314" t="str">
        <v>Datos de seguro de préstamos</v>
      </c>
      <c r="H314" t="str">
        <v>Brindar ejemplo de flujo de seguros obligatorios pagos en mas de una cuota</v>
      </c>
      <c r="I314" t="str">
        <v>Técnica</v>
      </c>
      <c r="J314" t="str">
        <v>Alta</v>
      </c>
      <c r="K314" s="183">
        <v>46098</v>
      </c>
      <c r="L314" s="183">
        <v>0</v>
      </c>
      <c r="M314" s="188">
        <v>46098</v>
      </c>
      <c r="N314" t="str">
        <v>Sonia B.</v>
      </c>
      <c r="O314" t="str">
        <v>Julio P.</v>
      </c>
      <c r="P314" t="b">
        <v>1</v>
      </c>
      <c r="Q314" t="str">
        <v>3.En progreso</v>
      </c>
      <c r="R314" t="str">
        <v>Data-Finanzas</v>
      </c>
      <c r="S314">
        <v>0</v>
      </c>
      <c r="T314" t="str">
        <v>S</v>
      </c>
    </row>
    <row r="315" spans="1:20">
      <c r="A315">
        <v>7</v>
      </c>
      <c r="B315" t="str">
        <v>Data</v>
      </c>
      <c r="C315" t="str">
        <v> </v>
      </c>
      <c r="D315">
        <v>0</v>
      </c>
      <c r="E315" t="str">
        <v>Data-Riesgos</v>
      </c>
      <c r="F315" t="str">
        <v>Cards y Payments</v>
      </c>
      <c r="G315" t="str">
        <v>Datos de Tarjetas  de credito , dias de mora  y transacciones .</v>
      </c>
      <c r="H315" t="str">
        <v>Se requiere inforamcion de saldos . tartjetas dias de mora para recontrutir las tablas del MCP001 , MCP002 , MCP003 , MCP004 , MCP005</v>
      </c>
      <c r="I315" t="str">
        <v>Técnica</v>
      </c>
      <c r="J315" t="str">
        <v>Medio</v>
      </c>
      <c r="K315" s="183">
        <v>46098</v>
      </c>
      <c r="L315" s="183">
        <v>0</v>
      </c>
      <c r="M315" s="188">
        <v>0</v>
      </c>
      <c r="N315" t="str">
        <v>Julio P.</v>
      </c>
      <c r="O315" t="str">
        <v>Fredy C.</v>
      </c>
      <c r="P315" t="b">
        <v>1</v>
      </c>
      <c r="Q315" t="str">
        <v>3.En progreso</v>
      </c>
      <c r="R315" t="str">
        <v>Data-Riesgos</v>
      </c>
      <c r="S315">
        <v>0</v>
      </c>
      <c r="T315" t="str">
        <v>S</v>
      </c>
    </row>
    <row r="316" spans="1:20">
      <c r="A316">
        <v>8</v>
      </c>
      <c r="B316" t="str">
        <v>Data</v>
      </c>
      <c r="C316">
        <v>0</v>
      </c>
      <c r="D316">
        <v>0</v>
      </c>
      <c r="E316" t="str">
        <v>Data-I.C.</v>
      </c>
      <c r="F316" t="str">
        <v>Core</v>
      </c>
      <c r="G316" t="str">
        <v>Modelo de datos del flujo completo de la venta</v>
      </c>
      <c r="H316" t="str">
        <v>Se requiere información de los modelos de datos de solicitudes para la venta del módulo de teller.</v>
      </c>
      <c r="I316" t="str">
        <v>Técnica</v>
      </c>
      <c r="J316" t="str">
        <v>Alta</v>
      </c>
      <c r="K316" s="183">
        <v>46090</v>
      </c>
      <c r="L316" s="183">
        <v>0</v>
      </c>
      <c r="M316" s="188">
        <v>0</v>
      </c>
      <c r="N316">
        <v>0</v>
      </c>
      <c r="O316" t="str">
        <v>Julio P.</v>
      </c>
      <c r="P316" t="b">
        <v>1</v>
      </c>
      <c r="Q316" t="str">
        <v>3.En progreso</v>
      </c>
      <c r="R316" t="str">
        <v>Data-I.comercial</v>
      </c>
      <c r="S316">
        <v>0</v>
      </c>
      <c r="T316" t="str">
        <v>S</v>
      </c>
    </row>
    <row r="317" spans="1:20">
      <c r="A317">
        <v>9</v>
      </c>
      <c r="B317" t="str">
        <v>Data</v>
      </c>
      <c r="C317">
        <v>0</v>
      </c>
      <c r="D317">
        <v>0</v>
      </c>
      <c r="E317" t="str">
        <v>Data-Riesgos</v>
      </c>
      <c r="F317" t="str">
        <v>Core</v>
      </c>
      <c r="G317" t="str">
        <v>Flujo to be del proceso de Bases Negativas</v>
      </c>
      <c r="H317" t="str">
        <v>Se requiere entender con el equipo de Core cual  sera el nuevo flujo de bases negaivas ya que el usuario responsable depende de ese proceso</v>
      </c>
      <c r="I317" t="str">
        <v>Funcional</v>
      </c>
      <c r="J317" t="str">
        <v>Alta</v>
      </c>
      <c r="K317" s="183">
        <v>46055</v>
      </c>
      <c r="L317" s="183">
        <v>0</v>
      </c>
      <c r="M317" s="188">
        <v>0</v>
      </c>
      <c r="N317">
        <v>0</v>
      </c>
      <c r="O317" t="str">
        <v>Julio P.</v>
      </c>
      <c r="P317" t="b">
        <v>1</v>
      </c>
      <c r="Q317" t="str">
        <v>1.Identificada</v>
      </c>
      <c r="R317" t="str">
        <v>Data-Riesgos</v>
      </c>
      <c r="S317">
        <v>0</v>
      </c>
      <c r="T317" t="str">
        <v>S</v>
      </c>
    </row>
    <row r="318" spans="1:20">
      <c r="A318">
        <v>10</v>
      </c>
      <c r="B318" t="str">
        <v>Data</v>
      </c>
      <c r="C318">
        <v>0</v>
      </c>
      <c r="D318">
        <v>0</v>
      </c>
      <c r="E318" t="str">
        <v>Data-Finanzas</v>
      </c>
      <c r="F318" t="str">
        <v>Core</v>
      </c>
      <c r="G318" t="str">
        <v>Información de seguros optativos</v>
      </c>
      <c r="H318" t="str">
        <v>Brindar información de seguros optativos con la información 
de las primas pagas asi como las tablas de configuracion.</v>
      </c>
      <c r="I318" t="str">
        <v>Técnica</v>
      </c>
      <c r="J318" t="str">
        <v>Media</v>
      </c>
      <c r="K318" s="183">
        <v>46109</v>
      </c>
      <c r="L318" s="183">
        <v>0</v>
      </c>
      <c r="M318" s="188">
        <v>46142</v>
      </c>
      <c r="N318">
        <v>0</v>
      </c>
      <c r="O318" t="str">
        <v>Julio P.</v>
      </c>
      <c r="P318" t="b">
        <v>1</v>
      </c>
      <c r="Q318" t="str">
        <v>3.En progreso</v>
      </c>
      <c r="R318" t="str">
        <v>Data-Finanzas</v>
      </c>
      <c r="S318">
        <v>0</v>
      </c>
      <c r="T318" t="str">
        <v>S</v>
      </c>
    </row>
    <row r="319" spans="1:20">
      <c r="A319">
        <v>11</v>
      </c>
      <c r="B319" t="str">
        <v>Data</v>
      </c>
      <c r="C319">
        <v>0</v>
      </c>
      <c r="D319">
        <v>0</v>
      </c>
      <c r="E319" t="str">
        <v>Data-Finanzas</v>
      </c>
      <c r="F319" t="str">
        <v>Core</v>
      </c>
      <c r="G319" t="str">
        <v>Información de castigados</v>
      </c>
      <c r="H319" t="str">
        <v xml:space="preserve">Brindar la información necesaria para almacenar el nuevo 
universo de castigados, con el fin de reemplazar tabla de trabajo 
LD0D12. </v>
      </c>
      <c r="I319" t="str">
        <v>Técnica</v>
      </c>
      <c r="J319" t="str">
        <v>Media</v>
      </c>
      <c r="K319" s="183">
        <v>46136</v>
      </c>
      <c r="L319" s="183">
        <v>0</v>
      </c>
      <c r="M319" s="188">
        <v>46203</v>
      </c>
      <c r="N319">
        <v>0</v>
      </c>
      <c r="O319" t="str">
        <v>Julio P.</v>
      </c>
      <c r="P319" t="b">
        <v>1</v>
      </c>
      <c r="Q319" t="str">
        <v>1.Identificada</v>
      </c>
      <c r="R319" t="str">
        <v>Data-Finanzas</v>
      </c>
      <c r="S319">
        <v>0</v>
      </c>
      <c r="T319" t="str">
        <v>S</v>
      </c>
    </row>
    <row r="320" spans="1:20">
      <c r="A320">
        <v>12</v>
      </c>
      <c r="B320" t="str">
        <v>Data</v>
      </c>
      <c r="C320">
        <v>0</v>
      </c>
      <c r="D320">
        <v>0</v>
      </c>
      <c r="E320" t="str">
        <v>Data-Finanzas</v>
      </c>
      <c r="F320" t="str">
        <v>Core</v>
      </c>
      <c r="G320" t="str">
        <v>Información de refinanciados</v>
      </c>
      <c r="H320" t="str">
        <v>Brindar la información necesaria para almacenar el nuevo 
universo de castigados, con el fin de reemplazar tabla de trabajo 
LRFD02.</v>
      </c>
      <c r="I320" t="str">
        <v>Técnica</v>
      </c>
      <c r="J320" t="str">
        <v>Media</v>
      </c>
      <c r="K320" s="183">
        <v>46136</v>
      </c>
      <c r="L320" s="183">
        <v>0</v>
      </c>
      <c r="M320" s="188">
        <v>46203</v>
      </c>
      <c r="N320">
        <v>0</v>
      </c>
      <c r="O320" t="str">
        <v>Julio P.</v>
      </c>
      <c r="P320" t="b">
        <v>1</v>
      </c>
      <c r="Q320" t="str">
        <v>1.Identificada</v>
      </c>
      <c r="R320" t="str">
        <v>Data-Finanzas</v>
      </c>
      <c r="S320">
        <v>0</v>
      </c>
      <c r="T320" t="str">
        <v>S</v>
      </c>
    </row>
  </sheetData>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00415-2E07-41FF-9286-493C707BB491}">
  <dimension ref="A1:H6"/>
  <sheetViews>
    <sheetView workbookViewId="0"/>
  </sheetViews>
  <sheetFormatPr baseColWidth="10" defaultColWidth="11.453125" defaultRowHeight="14.5"/>
  <sheetData>
    <row r="1" spans="1:8">
      <c r="A1" s="256" t="s">
        <v>1003</v>
      </c>
      <c r="B1" s="256"/>
      <c r="C1" s="256"/>
      <c r="D1" s="256"/>
      <c r="E1" s="256"/>
      <c r="F1" s="256"/>
      <c r="G1" s="256"/>
      <c r="H1" s="256"/>
    </row>
    <row r="2" spans="1:8">
      <c r="A2" s="256"/>
      <c r="B2" s="256"/>
      <c r="C2" s="256"/>
      <c r="D2" s="256"/>
      <c r="E2" s="256"/>
      <c r="F2" s="256"/>
      <c r="G2" s="256"/>
      <c r="H2" s="256"/>
    </row>
    <row r="3" spans="1:8">
      <c r="A3" s="256"/>
      <c r="B3" s="256"/>
      <c r="C3" s="256"/>
      <c r="D3" s="256"/>
      <c r="E3" s="256"/>
      <c r="F3" s="256"/>
      <c r="G3" s="256"/>
      <c r="H3" s="256"/>
    </row>
    <row r="6" spans="1:8">
      <c r="B6" t="s">
        <v>1004</v>
      </c>
      <c r="C6" t="s">
        <v>1005</v>
      </c>
      <c r="D6" t="s">
        <v>1006</v>
      </c>
    </row>
  </sheetData>
  <mergeCells count="1">
    <mergeCell ref="A1:H3"/>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A5C4D-B267-432B-89E6-B93A6B1E763F}">
  <dimension ref="B2:D8"/>
  <sheetViews>
    <sheetView showGridLines="0" workbookViewId="0">
      <selection activeCell="C3" sqref="C3:C5"/>
    </sheetView>
  </sheetViews>
  <sheetFormatPr baseColWidth="10" defaultColWidth="11.453125" defaultRowHeight="14.5"/>
  <cols>
    <col min="1" max="1" width="4.54296875" customWidth="1"/>
    <col min="2" max="2" width="12.81640625" bestFit="1" customWidth="1"/>
  </cols>
  <sheetData>
    <row r="2" spans="2:4">
      <c r="B2" t="s">
        <v>1007</v>
      </c>
      <c r="C2" t="s">
        <v>27</v>
      </c>
      <c r="D2" t="s">
        <v>33</v>
      </c>
    </row>
    <row r="3" spans="2:4">
      <c r="B3" t="s">
        <v>41</v>
      </c>
      <c r="C3" t="s">
        <v>42</v>
      </c>
      <c r="D3" t="s">
        <v>75</v>
      </c>
    </row>
    <row r="4" spans="2:4">
      <c r="B4" t="s">
        <v>267</v>
      </c>
      <c r="C4" t="s">
        <v>59</v>
      </c>
      <c r="D4" t="s">
        <v>45</v>
      </c>
    </row>
    <row r="5" spans="2:4">
      <c r="B5" t="s">
        <v>5</v>
      </c>
      <c r="C5" t="s">
        <v>238</v>
      </c>
      <c r="D5" t="s">
        <v>68</v>
      </c>
    </row>
    <row r="6" spans="2:4">
      <c r="B6" t="s">
        <v>290</v>
      </c>
      <c r="D6" t="s">
        <v>1008</v>
      </c>
    </row>
    <row r="7" spans="2:4">
      <c r="B7" t="s">
        <v>12</v>
      </c>
    </row>
    <row r="8" spans="2:4">
      <c r="B8" t="s">
        <v>1009</v>
      </c>
    </row>
  </sheetData>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5AA8F-89BB-4F99-A774-EC627DAB287D}">
  <dimension ref="A3:G13"/>
  <sheetViews>
    <sheetView workbookViewId="0"/>
  </sheetViews>
  <sheetFormatPr baseColWidth="10" defaultColWidth="11.453125" defaultRowHeight="14.5"/>
  <cols>
    <col min="1" max="1" width="22.453125" bestFit="1" customWidth="1"/>
    <col min="2" max="6" width="13.26953125" bestFit="1" customWidth="1"/>
    <col min="7" max="7" width="12.54296875" bestFit="1" customWidth="1"/>
    <col min="8" max="13" width="17.1796875" bestFit="1" customWidth="1"/>
    <col min="14" max="14" width="12.54296875" bestFit="1" customWidth="1"/>
    <col min="15" max="17" width="14.81640625" bestFit="1" customWidth="1"/>
    <col min="18" max="18" width="11.453125" bestFit="1" customWidth="1"/>
  </cols>
  <sheetData>
    <row r="3" spans="1:7">
      <c r="A3" s="73" t="s">
        <v>869</v>
      </c>
      <c r="B3" s="73" t="s">
        <v>33</v>
      </c>
    </row>
    <row r="4" spans="1:7">
      <c r="A4" s="73" t="s">
        <v>0</v>
      </c>
      <c r="B4" t="s">
        <v>996</v>
      </c>
      <c r="C4" t="s">
        <v>179</v>
      </c>
      <c r="D4" t="s">
        <v>103</v>
      </c>
      <c r="E4" t="s">
        <v>91</v>
      </c>
      <c r="F4" t="s">
        <v>169</v>
      </c>
      <c r="G4" t="s">
        <v>675</v>
      </c>
    </row>
    <row r="5" spans="1:7">
      <c r="A5" t="s">
        <v>11</v>
      </c>
      <c r="C5">
        <v>2</v>
      </c>
      <c r="D5">
        <v>41</v>
      </c>
      <c r="E5">
        <v>36</v>
      </c>
      <c r="F5">
        <v>3</v>
      </c>
      <c r="G5">
        <v>82</v>
      </c>
    </row>
    <row r="6" spans="1:7">
      <c r="A6" t="s">
        <v>7</v>
      </c>
      <c r="C6">
        <v>23</v>
      </c>
      <c r="D6">
        <v>89</v>
      </c>
      <c r="E6">
        <v>17</v>
      </c>
      <c r="F6">
        <v>6</v>
      </c>
      <c r="G6">
        <v>135</v>
      </c>
    </row>
    <row r="7" spans="1:7">
      <c r="A7" t="s">
        <v>4</v>
      </c>
      <c r="C7">
        <v>4</v>
      </c>
      <c r="D7">
        <v>7</v>
      </c>
      <c r="E7">
        <v>5</v>
      </c>
      <c r="F7">
        <v>1</v>
      </c>
      <c r="G7">
        <v>17</v>
      </c>
    </row>
    <row r="8" spans="1:7">
      <c r="A8" t="s">
        <v>8</v>
      </c>
      <c r="C8">
        <v>8</v>
      </c>
      <c r="D8">
        <v>6</v>
      </c>
      <c r="E8">
        <v>5</v>
      </c>
      <c r="F8">
        <v>6</v>
      </c>
      <c r="G8">
        <v>25</v>
      </c>
    </row>
    <row r="9" spans="1:7">
      <c r="A9" t="s">
        <v>5</v>
      </c>
      <c r="C9">
        <v>1</v>
      </c>
      <c r="D9">
        <v>4</v>
      </c>
      <c r="F9">
        <v>7</v>
      </c>
      <c r="G9">
        <v>12</v>
      </c>
    </row>
    <row r="10" spans="1:7">
      <c r="A10" t="s">
        <v>9</v>
      </c>
      <c r="C10">
        <v>12</v>
      </c>
      <c r="E10">
        <v>3</v>
      </c>
      <c r="G10">
        <v>15</v>
      </c>
    </row>
    <row r="11" spans="1:7">
      <c r="A11" t="s">
        <v>678</v>
      </c>
      <c r="C11">
        <v>20</v>
      </c>
      <c r="F11">
        <v>13</v>
      </c>
      <c r="G11">
        <v>33</v>
      </c>
    </row>
    <row r="12" spans="1:7">
      <c r="A12" t="s">
        <v>996</v>
      </c>
    </row>
    <row r="13" spans="1:7">
      <c r="A13" t="s">
        <v>675</v>
      </c>
      <c r="C13">
        <v>70</v>
      </c>
      <c r="D13">
        <v>147</v>
      </c>
      <c r="E13">
        <v>66</v>
      </c>
      <c r="F13">
        <v>36</v>
      </c>
      <c r="G13">
        <v>319</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4CD84-3CF4-405F-A6B1-AC702DE644F5}">
  <dimension ref="B1:K16"/>
  <sheetViews>
    <sheetView showGridLines="0" tabSelected="1" topLeftCell="A2" workbookViewId="0">
      <selection activeCell="K5" sqref="K5"/>
      <extLst>
        <ext xmlns:xlsdti="http://schemas.microsoft.com/office/spreadsheetml/2023/showDataTypeIcons" uri="{77bfe23e-c014-4d31-8a63-9c772dbf06b6}">
          <xlsdti:showDataTypeIcons visible="0"/>
        </ext>
      </extLst>
    </sheetView>
  </sheetViews>
  <sheetFormatPr baseColWidth="10" defaultColWidth="9.1796875" defaultRowHeight="14.5"/>
  <cols>
    <col min="2" max="2" width="22.453125" bestFit="1" customWidth="1"/>
    <col min="3" max="6" width="13.26953125" style="6" bestFit="1" customWidth="1"/>
    <col min="7" max="7" width="12.54296875" style="6" bestFit="1" customWidth="1"/>
    <col min="9" max="9" width="20.1796875" bestFit="1" customWidth="1"/>
  </cols>
  <sheetData>
    <row r="1" spans="2:11" hidden="1"/>
    <row r="2" spans="2:11">
      <c r="B2" s="73" t="s">
        <v>1002</v>
      </c>
      <c r="C2" s="6" t="s">
        <v>1010</v>
      </c>
    </row>
    <row r="3" spans="2:11">
      <c r="I3" s="233" t="s">
        <v>710</v>
      </c>
      <c r="K3" s="253"/>
    </row>
    <row r="4" spans="2:11">
      <c r="B4" s="73" t="s">
        <v>1011</v>
      </c>
      <c r="C4" s="242" t="s">
        <v>33</v>
      </c>
      <c r="I4" s="234" t="s">
        <v>1012</v>
      </c>
      <c r="K4" s="253" t="s">
        <v>1013</v>
      </c>
    </row>
    <row r="5" spans="2:11">
      <c r="B5" s="73" t="s">
        <v>0</v>
      </c>
      <c r="C5" s="6" t="s">
        <v>103</v>
      </c>
      <c r="D5" s="6" t="s">
        <v>91</v>
      </c>
      <c r="E5" s="6" t="s">
        <v>169</v>
      </c>
      <c r="F5" s="6" t="s">
        <v>179</v>
      </c>
      <c r="G5" s="6" t="s">
        <v>675</v>
      </c>
      <c r="I5" s="234" t="s">
        <v>483</v>
      </c>
      <c r="K5" s="253" t="s">
        <v>1014</v>
      </c>
    </row>
    <row r="6" spans="2:11">
      <c r="B6" t="s">
        <v>11</v>
      </c>
      <c r="D6" s="6">
        <v>9</v>
      </c>
      <c r="E6" s="6">
        <v>5</v>
      </c>
      <c r="F6" s="6">
        <v>2</v>
      </c>
      <c r="G6" s="6">
        <v>16</v>
      </c>
      <c r="I6" s="234" t="s">
        <v>1015</v>
      </c>
      <c r="K6" s="253" t="s">
        <v>1016</v>
      </c>
    </row>
    <row r="7" spans="2:11">
      <c r="B7" t="s">
        <v>7</v>
      </c>
      <c r="C7" s="6">
        <v>40</v>
      </c>
      <c r="D7" s="6">
        <v>2</v>
      </c>
      <c r="E7" s="6">
        <v>6</v>
      </c>
      <c r="F7" s="6">
        <v>15</v>
      </c>
      <c r="G7" s="6">
        <v>63</v>
      </c>
      <c r="I7" s="234" t="s">
        <v>281</v>
      </c>
      <c r="K7" s="253" t="s">
        <v>968</v>
      </c>
    </row>
    <row r="8" spans="2:11">
      <c r="B8" t="s">
        <v>4</v>
      </c>
      <c r="C8" s="6">
        <v>6</v>
      </c>
      <c r="D8" s="6">
        <v>4</v>
      </c>
      <c r="E8" s="6">
        <v>1</v>
      </c>
      <c r="F8" s="6">
        <v>4</v>
      </c>
      <c r="G8" s="6">
        <v>15</v>
      </c>
      <c r="I8" s="234" t="s">
        <v>1017</v>
      </c>
      <c r="K8" s="253" t="s">
        <v>1018</v>
      </c>
    </row>
    <row r="9" spans="2:11">
      <c r="B9" t="s">
        <v>8</v>
      </c>
      <c r="C9" s="6">
        <v>2</v>
      </c>
      <c r="D9" s="6">
        <v>1</v>
      </c>
      <c r="E9" s="6">
        <v>5</v>
      </c>
      <c r="F9" s="6">
        <v>8</v>
      </c>
      <c r="G9" s="6">
        <v>16</v>
      </c>
      <c r="I9" s="234" t="s">
        <v>4</v>
      </c>
      <c r="K9" s="253" t="s">
        <v>968</v>
      </c>
    </row>
    <row r="10" spans="2:11">
      <c r="B10" t="s">
        <v>5</v>
      </c>
      <c r="C10" s="6">
        <v>4</v>
      </c>
      <c r="E10" s="6">
        <v>7</v>
      </c>
      <c r="F10" s="6">
        <v>1</v>
      </c>
      <c r="G10" s="6">
        <v>12</v>
      </c>
      <c r="I10" s="234" t="s">
        <v>6</v>
      </c>
      <c r="K10" s="253" t="s">
        <v>1019</v>
      </c>
    </row>
    <row r="11" spans="2:11">
      <c r="B11" t="s">
        <v>9</v>
      </c>
      <c r="D11" s="6">
        <v>3</v>
      </c>
      <c r="F11" s="6">
        <v>7</v>
      </c>
      <c r="G11" s="6">
        <v>10</v>
      </c>
      <c r="I11" s="234" t="s">
        <v>1020</v>
      </c>
      <c r="K11" s="253" t="s">
        <v>1021</v>
      </c>
    </row>
    <row r="12" spans="2:11">
      <c r="B12" t="s">
        <v>678</v>
      </c>
      <c r="E12" s="6">
        <v>12</v>
      </c>
      <c r="F12" s="6">
        <v>18</v>
      </c>
      <c r="G12" s="6">
        <v>30</v>
      </c>
      <c r="I12" s="234" t="s">
        <v>3</v>
      </c>
      <c r="K12" s="253" t="s">
        <v>1022</v>
      </c>
    </row>
    <row r="13" spans="2:11">
      <c r="B13" t="s">
        <v>675</v>
      </c>
      <c r="C13" s="6">
        <v>52</v>
      </c>
      <c r="D13" s="6">
        <v>19</v>
      </c>
      <c r="E13" s="6">
        <v>36</v>
      </c>
      <c r="F13" s="6">
        <v>55</v>
      </c>
      <c r="G13" s="6">
        <v>162</v>
      </c>
      <c r="I13" s="234" t="s">
        <v>1023</v>
      </c>
    </row>
    <row r="16" spans="2:11">
      <c r="K16" s="253" t="s">
        <v>968</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781F6-1D90-4600-A96C-913BB54FD8AB}">
  <dimension ref="B1:C6"/>
  <sheetViews>
    <sheetView workbookViewId="0">
      <selection activeCell="B5" sqref="B5"/>
    </sheetView>
  </sheetViews>
  <sheetFormatPr baseColWidth="10" defaultColWidth="9.1796875" defaultRowHeight="14.5"/>
  <cols>
    <col min="2" max="2" width="13.453125" customWidth="1"/>
  </cols>
  <sheetData>
    <row r="1" spans="2:3">
      <c r="B1" t="s">
        <v>1024</v>
      </c>
      <c r="C1" t="s">
        <v>1025</v>
      </c>
    </row>
    <row r="2" spans="2:3">
      <c r="B2" s="193" t="s">
        <v>103</v>
      </c>
      <c r="C2" t="s">
        <v>42</v>
      </c>
    </row>
    <row r="3" spans="2:3">
      <c r="B3" s="193" t="s">
        <v>91</v>
      </c>
      <c r="C3" t="s">
        <v>59</v>
      </c>
    </row>
    <row r="4" spans="2:3">
      <c r="B4" s="193" t="s">
        <v>169</v>
      </c>
      <c r="C4" t="s">
        <v>238</v>
      </c>
    </row>
    <row r="5" spans="2:3">
      <c r="B5" s="193" t="s">
        <v>179</v>
      </c>
    </row>
    <row r="6" spans="2:3">
      <c r="B6" t="s">
        <v>1026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25</vt:i4>
      </vt:variant>
    </vt:vector>
  </HeadingPairs>
  <TitlesOfParts>
    <vt:vector size="25" baseType="lpstr">
      <vt:lpstr>Resumen</vt:lpstr>
      <vt:lpstr>Detalle1</vt:lpstr>
      <vt:lpstr>Aplicaciones de Soporte</vt:lpstr>
      <vt:lpstr>Cards y Payments</vt:lpstr>
      <vt:lpstr>Core Banking</vt:lpstr>
      <vt:lpstr>Canal Digital</vt:lpstr>
      <vt:lpstr>Detalle2</vt:lpstr>
      <vt:lpstr>Detalle3</vt:lpstr>
      <vt:lpstr>Detalle4</vt:lpstr>
      <vt:lpstr>Detalle5</vt:lpstr>
      <vt:lpstr>Detalle6</vt:lpstr>
      <vt:lpstr>Resumen CCAA</vt:lpstr>
      <vt:lpstr>ID</vt:lpstr>
      <vt:lpstr>Arquitectura</vt:lpstr>
      <vt:lpstr>Canal Asistidos</vt:lpstr>
      <vt:lpstr>Migración de Datos</vt:lpstr>
      <vt:lpstr>Integración</vt:lpstr>
      <vt:lpstr>Data</vt:lpstr>
      <vt:lpstr>Hoja1</vt:lpstr>
      <vt:lpstr>TB_DEPENDENCIA</vt:lpstr>
      <vt:lpstr>apuntes</vt:lpstr>
      <vt:lpstr>Catálogo</vt:lpstr>
      <vt:lpstr>Hoja2</vt:lpstr>
      <vt:lpstr>DINAMICA</vt:lpstr>
      <vt:lpstr>Parametros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Paola Sandoval</dc:creator>
  <cp:keywords/>
  <dc:description/>
  <cp:lastModifiedBy>Abraham Rivera</cp:lastModifiedBy>
  <cp:revision/>
  <dcterms:created xsi:type="dcterms:W3CDTF">2026-03-04T21:05:23Z</dcterms:created>
  <dcterms:modified xsi:type="dcterms:W3CDTF">2026-04-15T17:33:51Z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1b88ec2-a72b-4523-9e84-0458a1764731_Enabled">
    <vt:lpwstr>true</vt:lpwstr>
  </property>
  <property fmtid="{D5CDD505-2E9C-101B-9397-08002B2CF9AE}" pid="3" name="MSIP_Label_41b88ec2-a72b-4523-9e84-0458a1764731_SetDate">
    <vt:lpwstr>2026-03-04T21:10:04Z</vt:lpwstr>
  </property>
  <property fmtid="{D5CDD505-2E9C-101B-9397-08002B2CF9AE}" pid="4" name="MSIP_Label_41b88ec2-a72b-4523-9e84-0458a1764731_Method">
    <vt:lpwstr>Privileged</vt:lpwstr>
  </property>
  <property fmtid="{D5CDD505-2E9C-101B-9397-08002B2CF9AE}" pid="5" name="MSIP_Label_41b88ec2-a72b-4523-9e84-0458a1764731_Name">
    <vt:lpwstr>Public O365</vt:lpwstr>
  </property>
  <property fmtid="{D5CDD505-2E9C-101B-9397-08002B2CF9AE}" pid="6" name="MSIP_Label_41b88ec2-a72b-4523-9e84-0458a1764731_SiteId">
    <vt:lpwstr>35595a02-4d6d-44ac-99e1-f9ab4cd872db</vt:lpwstr>
  </property>
  <property fmtid="{D5CDD505-2E9C-101B-9397-08002B2CF9AE}" pid="7" name="MSIP_Label_41b88ec2-a72b-4523-9e84-0458a1764731_ActionId">
    <vt:lpwstr>bf33a71b-8fdd-418b-9698-954280c1e3d5</vt:lpwstr>
  </property>
  <property fmtid="{D5CDD505-2E9C-101B-9397-08002B2CF9AE}" pid="8" name="MSIP_Label_41b88ec2-a72b-4523-9e84-0458a1764731_ContentBits">
    <vt:lpwstr>0</vt:lpwstr>
  </property>
  <property fmtid="{D5CDD505-2E9C-101B-9397-08002B2CF9AE}" pid="9" name="MSIP_Label_41b88ec2-a72b-4523-9e84-0458a1764731_Tag">
    <vt:lpwstr>10, 0, 1, 1</vt:lpwstr>
  </property>
</Properties>
</file>